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Portfolio\L6_DA\Week3\"/>
    </mc:Choice>
  </mc:AlternateContent>
  <xr:revisionPtr revIDLastSave="0" documentId="13_ncr:1_{B6B871AB-0D41-44C3-9860-690F06E7283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boston" sheetId="1" r:id="rId1"/>
    <sheet name="eda" sheetId="5" r:id="rId2"/>
    <sheet name="analysis" sheetId="4" r:id="rId3"/>
  </sheets>
  <definedNames>
    <definedName name="_xlchart.v1.0" hidden="1">analysis!$N$4</definedName>
    <definedName name="_xlchart.v1.1" hidden="1">analysis!$N$5:$N$510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4" l="1" a="1"/>
  <c r="AJ3" i="4" s="1"/>
  <c r="AI3" i="4" a="1"/>
  <c r="AI3" i="4" s="1"/>
  <c r="S1" i="4" l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AC11" i="4"/>
  <c r="AC4" i="4"/>
  <c r="AD9" i="4"/>
  <c r="AE9" i="4"/>
  <c r="AF9" i="4"/>
  <c r="AG9" i="4"/>
  <c r="AC9" i="4"/>
  <c r="AD14" i="4"/>
  <c r="AE14" i="4"/>
  <c r="AF14" i="4"/>
  <c r="AG14" i="4"/>
  <c r="AC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<sst xmlns="http://schemas.openxmlformats.org/spreadsheetml/2006/main" count="326" uniqueCount="82">
  <si>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</si>
  <si>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</si>
  <si>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</si>
  <si>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</si>
  <si>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</si>
  <si>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</si>
  <si>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</si>
  <si>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</si>
  <si>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</si>
  <si>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</si>
  <si>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</si>
  <si>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</si>
  <si>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</si>
  <si>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</si>
  <si>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Intercept</t>
  </si>
  <si>
    <t>b1(crim)</t>
  </si>
  <si>
    <t>b2(zn)</t>
  </si>
  <si>
    <t>b3(indus)</t>
  </si>
  <si>
    <t>b4(chas)</t>
  </si>
  <si>
    <t>b5(nox)</t>
  </si>
  <si>
    <t>b6(rm)</t>
  </si>
  <si>
    <t>b7(age)</t>
  </si>
  <si>
    <t>b8(dis)</t>
  </si>
  <si>
    <t>b9(rad)</t>
  </si>
  <si>
    <t>b10(tax)</t>
  </si>
  <si>
    <t>b11(ptratio)</t>
  </si>
  <si>
    <t>b12(black)</t>
  </si>
  <si>
    <t>b13(lstat)</t>
  </si>
  <si>
    <t>pred_medv</t>
  </si>
  <si>
    <t>residuals</t>
  </si>
  <si>
    <t>mape</t>
  </si>
  <si>
    <t>MAPE</t>
  </si>
  <si>
    <t>RMSE</t>
  </si>
  <si>
    <t>Linear Regression</t>
  </si>
  <si>
    <t>If there is linearity in the relationship between our Xs and y</t>
  </si>
  <si>
    <t>If there is approximately normal distribution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</si>
  <si>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</si>
  <si>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</si>
  <si>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</si>
  <si>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</si>
  <si>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</si>
  <si>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</si>
  <si>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</si>
  <si>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</si>
  <si>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</si>
  <si>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</si>
  <si>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</si>
  <si>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</si>
  <si>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</si>
  <si>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</si>
  <si>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</si>
  <si>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</si>
  <si>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</si>
  <si>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</si>
  <si>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</si>
  <si>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</si>
  <si>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</si>
  <si>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</si>
  <si>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</si>
  <si>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</si>
  <si>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</si>
  <si>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medv</t>
  </si>
  <si>
    <t>Residuals</t>
  </si>
  <si>
    <t>Rooms</t>
  </si>
  <si>
    <t>Medv</t>
  </si>
  <si>
    <t>Name</t>
  </si>
  <si>
    <t>Nox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</si>
  <si>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</si>
  <si>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</si>
  <si>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</si>
  <si>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</si>
  <si>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</si>
  <si>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</si>
  <si>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</si>
  <si>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</si>
  <si>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</si>
  <si>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</si>
  <si>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</si>
  <si>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</si>
  <si>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y=</t>
  </si>
  <si>
    <t>Reduction in y</t>
  </si>
  <si>
    <t>increase in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</si>
</sst>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10" xfId="0" applyFont="1" applyBorder="1"/>
    <xf numFmtId="0" fontId="16" fillId="0" borderId="0" xfId="0" applyFont="1"/>
    <xf numFmtId="0" fontId="0" fillId="0" borderId="11" xfId="0" applyBorder="1"/>
    <xf numFmtId="0" fontId="18" fillId="0" borderId="12" xfId="0" applyFont="1" applyBorder="1" applyAlignment="1">
      <alignment horizontal="center"/>
    </xf>
    <xf numFmtId="164" fontId="0" fillId="0" borderId="0" xfId="0" applyNumberFormat="1"/>
    <xf numFmtId="164" fontId="0" fillId="0" borderId="11" xfId="0" applyNumberFormat="1" applyBorder="1"/>
    <xf numFmtId="2" fontId="0" fillId="0" borderId="0" xfId="0" applyNumberFormat="1"/>
    <xf numFmtId="2" fontId="0" fillId="0" borderId="11" xfId="0" applyNumberFormat="1" applyBorder="1"/>
    <xf numFmtId="0" fontId="18" fillId="0" borderId="0" xfId="0" applyFont="1" applyAlignment="1">
      <alignment horizontal="center"/>
    </xf>
    <xf numFmtId="0" fontId="19" fillId="0" borderId="12" xfId="0" applyFont="1" applyBorder="1" applyAlignment="1">
      <alignment horizontal="centerContinuous"/>
    </xf>
    <xf numFmtId="0" fontId="16" fillId="0" borderId="11" xfId="0" applyFont="1" applyBorder="1"/>
    <xf numFmtId="0" fontId="0" fillId="33" borderId="0" xfId="0" applyFill="1"/>
    <xf numFmtId="0" fontId="0" fillId="33" borderId="11" xfId="0" applyFill="1" applyBorder="1"/>
    <xf numFmtId="0" fontId="19" fillId="0" borderId="12" xfId="0" applyFont="1" applyBorder="1" applyAlignment="1">
      <alignment horizontal="center"/>
    </xf>
    <xf numFmtId="165" fontId="0" fillId="0" borderId="0" xfId="0" applyNumberFormat="1"/>
    <xf numFmtId="165" fontId="0" fillId="0" borderId="11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0" fillId="0" borderId="16" xfId="0" applyNumberFormat="1" applyBorder="1"/>
    <xf numFmtId="0" fontId="20" fillId="0" borderId="0" xfId="0" applyFont="1" applyBorder="1"/>
    <xf numFmtId="0" fontId="0" fillId="0" borderId="0" xfId="0" applyBorder="1"/>
    <xf numFmtId="0" fontId="0" fillId="0" borderId="17" xfId="0" applyBorder="1"/>
    <xf numFmtId="0" fontId="0" fillId="0" borderId="16" xfId="0" applyBorder="1"/>
    <xf numFmtId="0" fontId="16" fillId="0" borderId="16" xfId="0" applyFont="1" applyBorder="1"/>
    <xf numFmtId="0" fontId="21" fillId="0" borderId="0" xfId="0" applyFont="1" applyBorder="1"/>
    <xf numFmtId="0" fontId="16" fillId="0" borderId="18" xfId="0" applyFont="1" applyBorder="1"/>
    <xf numFmtId="0" fontId="0" fillId="0" borderId="19" xfId="0" applyBorder="1"/>
    <xf numFmtId="0" fontId="16" fillId="0" borderId="0" xfId="0" applyFont="1" applyBorder="1"/>
    <xf numFmtId="0" fontId="16" fillId="0" borderId="17" xfId="0" applyFont="1" applyBorder="1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boston!$N$1</c:f>
              <c:strCache>
                <c:ptCount val="1"/>
                <c:pt idx="0">
                  <c:v>medv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boston!$F$2:$F$507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boston!$N$2:$N$507</c:f>
              <c:numCache>
                <c:formatCode>General</c:formatCode>
                <c:ptCount val="506"/>
                <c:pt idx="0">
                  <c:v>24</c:v>
                </c:pt>
                <c:pt idx="1">
                  <c:v>21.6</c:v>
                </c:pt>
                <c:pt idx="2">
                  <c:v>34.700000000000003</c:v>
                </c:pt>
                <c:pt idx="3">
                  <c:v>33.4</c:v>
                </c:pt>
                <c:pt idx="4">
                  <c:v>36.200000000000003</c:v>
                </c:pt>
                <c:pt idx="5">
                  <c:v>28.7</c:v>
                </c:pt>
                <c:pt idx="6">
                  <c:v>22.9</c:v>
                </c:pt>
                <c:pt idx="7">
                  <c:v>27.1</c:v>
                </c:pt>
                <c:pt idx="8">
                  <c:v>16.5</c:v>
                </c:pt>
                <c:pt idx="9">
                  <c:v>18.899999999999999</c:v>
                </c:pt>
                <c:pt idx="10">
                  <c:v>15</c:v>
                </c:pt>
                <c:pt idx="11">
                  <c:v>18.899999999999999</c:v>
                </c:pt>
                <c:pt idx="12">
                  <c:v>21.7</c:v>
                </c:pt>
                <c:pt idx="13">
                  <c:v>20.399999999999999</c:v>
                </c:pt>
                <c:pt idx="14">
                  <c:v>18.2</c:v>
                </c:pt>
                <c:pt idx="15">
                  <c:v>19.899999999999999</c:v>
                </c:pt>
                <c:pt idx="16">
                  <c:v>23.1</c:v>
                </c:pt>
                <c:pt idx="17">
                  <c:v>17.5</c:v>
                </c:pt>
                <c:pt idx="18">
                  <c:v>20.2</c:v>
                </c:pt>
                <c:pt idx="19">
                  <c:v>18.2</c:v>
                </c:pt>
                <c:pt idx="20">
                  <c:v>13.6</c:v>
                </c:pt>
                <c:pt idx="21">
                  <c:v>19.600000000000001</c:v>
                </c:pt>
                <c:pt idx="22">
                  <c:v>15.2</c:v>
                </c:pt>
                <c:pt idx="23">
                  <c:v>14.5</c:v>
                </c:pt>
                <c:pt idx="24">
                  <c:v>15.6</c:v>
                </c:pt>
                <c:pt idx="25">
                  <c:v>13.9</c:v>
                </c:pt>
                <c:pt idx="26">
                  <c:v>16.600000000000001</c:v>
                </c:pt>
                <c:pt idx="27">
                  <c:v>14.8</c:v>
                </c:pt>
                <c:pt idx="28">
                  <c:v>18.399999999999999</c:v>
                </c:pt>
                <c:pt idx="29">
                  <c:v>21</c:v>
                </c:pt>
                <c:pt idx="30">
                  <c:v>12.7</c:v>
                </c:pt>
                <c:pt idx="31">
                  <c:v>14.5</c:v>
                </c:pt>
                <c:pt idx="32">
                  <c:v>13.2</c:v>
                </c:pt>
                <c:pt idx="33">
                  <c:v>13.1</c:v>
                </c:pt>
                <c:pt idx="34">
                  <c:v>13.5</c:v>
                </c:pt>
                <c:pt idx="35">
                  <c:v>18.899999999999999</c:v>
                </c:pt>
                <c:pt idx="36">
                  <c:v>20</c:v>
                </c:pt>
                <c:pt idx="37">
                  <c:v>21</c:v>
                </c:pt>
                <c:pt idx="38">
                  <c:v>24.7</c:v>
                </c:pt>
                <c:pt idx="39">
                  <c:v>30.8</c:v>
                </c:pt>
                <c:pt idx="40">
                  <c:v>34.9</c:v>
                </c:pt>
                <c:pt idx="41">
                  <c:v>26.6</c:v>
                </c:pt>
                <c:pt idx="42">
                  <c:v>25.3</c:v>
                </c:pt>
                <c:pt idx="43">
                  <c:v>24.7</c:v>
                </c:pt>
                <c:pt idx="44">
                  <c:v>21.2</c:v>
                </c:pt>
                <c:pt idx="45">
                  <c:v>19.3</c:v>
                </c:pt>
                <c:pt idx="46">
                  <c:v>20</c:v>
                </c:pt>
                <c:pt idx="47">
                  <c:v>16.600000000000001</c:v>
                </c:pt>
                <c:pt idx="48">
                  <c:v>14.4</c:v>
                </c:pt>
                <c:pt idx="49">
                  <c:v>19.399999999999999</c:v>
                </c:pt>
                <c:pt idx="50">
                  <c:v>19.7</c:v>
                </c:pt>
                <c:pt idx="51">
                  <c:v>20.5</c:v>
                </c:pt>
                <c:pt idx="52">
                  <c:v>25</c:v>
                </c:pt>
                <c:pt idx="53">
                  <c:v>23.4</c:v>
                </c:pt>
                <c:pt idx="54">
                  <c:v>18.899999999999999</c:v>
                </c:pt>
                <c:pt idx="55">
                  <c:v>35.4</c:v>
                </c:pt>
                <c:pt idx="56">
                  <c:v>24.7</c:v>
                </c:pt>
                <c:pt idx="57">
                  <c:v>31.6</c:v>
                </c:pt>
                <c:pt idx="58">
                  <c:v>23.3</c:v>
                </c:pt>
                <c:pt idx="59">
                  <c:v>19.600000000000001</c:v>
                </c:pt>
                <c:pt idx="60">
                  <c:v>18.7</c:v>
                </c:pt>
                <c:pt idx="61">
                  <c:v>16</c:v>
                </c:pt>
                <c:pt idx="62">
                  <c:v>22.2</c:v>
                </c:pt>
                <c:pt idx="63">
                  <c:v>25</c:v>
                </c:pt>
                <c:pt idx="64">
                  <c:v>33</c:v>
                </c:pt>
                <c:pt idx="65">
                  <c:v>23.5</c:v>
                </c:pt>
                <c:pt idx="66">
                  <c:v>19.399999999999999</c:v>
                </c:pt>
                <c:pt idx="67">
                  <c:v>22</c:v>
                </c:pt>
                <c:pt idx="68">
                  <c:v>17.399999999999999</c:v>
                </c:pt>
                <c:pt idx="69">
                  <c:v>20.9</c:v>
                </c:pt>
                <c:pt idx="70">
                  <c:v>24.2</c:v>
                </c:pt>
                <c:pt idx="71">
                  <c:v>21.7</c:v>
                </c:pt>
                <c:pt idx="72">
                  <c:v>22.8</c:v>
                </c:pt>
                <c:pt idx="73">
                  <c:v>23.4</c:v>
                </c:pt>
                <c:pt idx="74">
                  <c:v>24.1</c:v>
                </c:pt>
                <c:pt idx="75">
                  <c:v>21.4</c:v>
                </c:pt>
                <c:pt idx="76">
                  <c:v>20</c:v>
                </c:pt>
                <c:pt idx="77">
                  <c:v>20.8</c:v>
                </c:pt>
                <c:pt idx="78">
                  <c:v>21.2</c:v>
                </c:pt>
                <c:pt idx="79">
                  <c:v>20.3</c:v>
                </c:pt>
                <c:pt idx="80">
                  <c:v>28</c:v>
                </c:pt>
                <c:pt idx="81">
                  <c:v>23.9</c:v>
                </c:pt>
                <c:pt idx="82">
                  <c:v>24.8</c:v>
                </c:pt>
                <c:pt idx="83">
                  <c:v>22.9</c:v>
                </c:pt>
                <c:pt idx="84">
                  <c:v>23.9</c:v>
                </c:pt>
                <c:pt idx="85">
                  <c:v>26.6</c:v>
                </c:pt>
                <c:pt idx="86">
                  <c:v>22.5</c:v>
                </c:pt>
                <c:pt idx="87">
                  <c:v>22.2</c:v>
                </c:pt>
                <c:pt idx="88">
                  <c:v>23.6</c:v>
                </c:pt>
                <c:pt idx="89">
                  <c:v>28.7</c:v>
                </c:pt>
                <c:pt idx="90">
                  <c:v>22.6</c:v>
                </c:pt>
                <c:pt idx="91">
                  <c:v>22</c:v>
                </c:pt>
                <c:pt idx="92">
                  <c:v>22.9</c:v>
                </c:pt>
                <c:pt idx="93">
                  <c:v>25</c:v>
                </c:pt>
                <c:pt idx="94">
                  <c:v>20.6</c:v>
                </c:pt>
                <c:pt idx="95">
                  <c:v>28.4</c:v>
                </c:pt>
                <c:pt idx="96">
                  <c:v>21.4</c:v>
                </c:pt>
                <c:pt idx="97">
                  <c:v>38.700000000000003</c:v>
                </c:pt>
                <c:pt idx="98">
                  <c:v>43.8</c:v>
                </c:pt>
                <c:pt idx="99">
                  <c:v>33.200000000000003</c:v>
                </c:pt>
                <c:pt idx="100">
                  <c:v>27.5</c:v>
                </c:pt>
                <c:pt idx="101">
                  <c:v>26.5</c:v>
                </c:pt>
                <c:pt idx="102">
                  <c:v>18.600000000000001</c:v>
                </c:pt>
                <c:pt idx="103">
                  <c:v>19.3</c:v>
                </c:pt>
                <c:pt idx="104">
                  <c:v>20.100000000000001</c:v>
                </c:pt>
                <c:pt idx="105">
                  <c:v>19.5</c:v>
                </c:pt>
                <c:pt idx="106">
                  <c:v>19.5</c:v>
                </c:pt>
                <c:pt idx="107">
                  <c:v>20.399999999999999</c:v>
                </c:pt>
                <c:pt idx="108">
                  <c:v>19.8</c:v>
                </c:pt>
                <c:pt idx="109">
                  <c:v>19.399999999999999</c:v>
                </c:pt>
                <c:pt idx="110">
                  <c:v>21.7</c:v>
                </c:pt>
                <c:pt idx="111">
                  <c:v>22.8</c:v>
                </c:pt>
                <c:pt idx="112">
                  <c:v>18.8</c:v>
                </c:pt>
                <c:pt idx="113">
                  <c:v>18.7</c:v>
                </c:pt>
                <c:pt idx="114">
                  <c:v>18.5</c:v>
                </c:pt>
                <c:pt idx="115">
                  <c:v>18.3</c:v>
                </c:pt>
                <c:pt idx="116">
                  <c:v>21.2</c:v>
                </c:pt>
                <c:pt idx="117">
                  <c:v>19.2</c:v>
                </c:pt>
                <c:pt idx="118">
                  <c:v>20.399999999999999</c:v>
                </c:pt>
                <c:pt idx="119">
                  <c:v>19.3</c:v>
                </c:pt>
                <c:pt idx="120">
                  <c:v>22</c:v>
                </c:pt>
                <c:pt idx="121">
                  <c:v>20.3</c:v>
                </c:pt>
                <c:pt idx="122">
                  <c:v>20.5</c:v>
                </c:pt>
                <c:pt idx="123">
                  <c:v>17.3</c:v>
                </c:pt>
                <c:pt idx="124">
                  <c:v>18.8</c:v>
                </c:pt>
                <c:pt idx="125">
                  <c:v>21.4</c:v>
                </c:pt>
                <c:pt idx="126">
                  <c:v>15.7</c:v>
                </c:pt>
                <c:pt idx="127">
                  <c:v>16.2</c:v>
                </c:pt>
                <c:pt idx="128">
                  <c:v>18</c:v>
                </c:pt>
                <c:pt idx="129">
                  <c:v>14.3</c:v>
                </c:pt>
                <c:pt idx="130">
                  <c:v>19.2</c:v>
                </c:pt>
                <c:pt idx="131">
                  <c:v>19.600000000000001</c:v>
                </c:pt>
                <c:pt idx="132">
                  <c:v>23</c:v>
                </c:pt>
                <c:pt idx="133">
                  <c:v>18.399999999999999</c:v>
                </c:pt>
                <c:pt idx="134">
                  <c:v>15.6</c:v>
                </c:pt>
                <c:pt idx="135">
                  <c:v>18.100000000000001</c:v>
                </c:pt>
                <c:pt idx="136">
                  <c:v>17.399999999999999</c:v>
                </c:pt>
                <c:pt idx="137">
                  <c:v>17.100000000000001</c:v>
                </c:pt>
                <c:pt idx="138">
                  <c:v>13.3</c:v>
                </c:pt>
                <c:pt idx="139">
                  <c:v>17.8</c:v>
                </c:pt>
                <c:pt idx="140">
                  <c:v>14</c:v>
                </c:pt>
                <c:pt idx="141">
                  <c:v>14.4</c:v>
                </c:pt>
                <c:pt idx="142">
                  <c:v>13.4</c:v>
                </c:pt>
                <c:pt idx="143">
                  <c:v>15.6</c:v>
                </c:pt>
                <c:pt idx="144">
                  <c:v>11.8</c:v>
                </c:pt>
                <c:pt idx="145">
                  <c:v>13.8</c:v>
                </c:pt>
                <c:pt idx="146">
                  <c:v>15.6</c:v>
                </c:pt>
                <c:pt idx="147">
                  <c:v>14.6</c:v>
                </c:pt>
                <c:pt idx="148">
                  <c:v>17.8</c:v>
                </c:pt>
                <c:pt idx="149">
                  <c:v>15.4</c:v>
                </c:pt>
                <c:pt idx="150">
                  <c:v>21.5</c:v>
                </c:pt>
                <c:pt idx="151">
                  <c:v>19.600000000000001</c:v>
                </c:pt>
                <c:pt idx="152">
                  <c:v>15.3</c:v>
                </c:pt>
                <c:pt idx="153">
                  <c:v>19.399999999999999</c:v>
                </c:pt>
                <c:pt idx="154">
                  <c:v>17</c:v>
                </c:pt>
                <c:pt idx="155">
                  <c:v>15.6</c:v>
                </c:pt>
                <c:pt idx="156">
                  <c:v>13.1</c:v>
                </c:pt>
                <c:pt idx="157">
                  <c:v>41.3</c:v>
                </c:pt>
                <c:pt idx="158">
                  <c:v>24.3</c:v>
                </c:pt>
                <c:pt idx="159">
                  <c:v>23.3</c:v>
                </c:pt>
                <c:pt idx="160">
                  <c:v>27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22.7</c:v>
                </c:pt>
                <c:pt idx="165">
                  <c:v>25</c:v>
                </c:pt>
                <c:pt idx="166">
                  <c:v>50</c:v>
                </c:pt>
                <c:pt idx="167">
                  <c:v>23.8</c:v>
                </c:pt>
                <c:pt idx="168">
                  <c:v>23.8</c:v>
                </c:pt>
                <c:pt idx="169">
                  <c:v>22.3</c:v>
                </c:pt>
                <c:pt idx="170">
                  <c:v>17.399999999999999</c:v>
                </c:pt>
                <c:pt idx="171">
                  <c:v>19.100000000000001</c:v>
                </c:pt>
                <c:pt idx="172">
                  <c:v>23.1</c:v>
                </c:pt>
                <c:pt idx="173">
                  <c:v>23.6</c:v>
                </c:pt>
                <c:pt idx="174">
                  <c:v>22.6</c:v>
                </c:pt>
                <c:pt idx="175">
                  <c:v>29.4</c:v>
                </c:pt>
                <c:pt idx="176">
                  <c:v>23.2</c:v>
                </c:pt>
                <c:pt idx="177">
                  <c:v>24.6</c:v>
                </c:pt>
                <c:pt idx="178">
                  <c:v>29.9</c:v>
                </c:pt>
                <c:pt idx="179">
                  <c:v>37.200000000000003</c:v>
                </c:pt>
                <c:pt idx="180">
                  <c:v>39.799999999999997</c:v>
                </c:pt>
                <c:pt idx="181">
                  <c:v>36.200000000000003</c:v>
                </c:pt>
                <c:pt idx="182">
                  <c:v>37.9</c:v>
                </c:pt>
                <c:pt idx="183">
                  <c:v>32.5</c:v>
                </c:pt>
                <c:pt idx="184">
                  <c:v>26.4</c:v>
                </c:pt>
                <c:pt idx="185">
                  <c:v>29.6</c:v>
                </c:pt>
                <c:pt idx="186">
                  <c:v>50</c:v>
                </c:pt>
                <c:pt idx="187">
                  <c:v>32</c:v>
                </c:pt>
                <c:pt idx="188">
                  <c:v>29.8</c:v>
                </c:pt>
                <c:pt idx="189">
                  <c:v>34.9</c:v>
                </c:pt>
                <c:pt idx="190">
                  <c:v>37</c:v>
                </c:pt>
                <c:pt idx="191">
                  <c:v>30.5</c:v>
                </c:pt>
                <c:pt idx="192">
                  <c:v>36.4</c:v>
                </c:pt>
                <c:pt idx="193">
                  <c:v>31.1</c:v>
                </c:pt>
                <c:pt idx="194">
                  <c:v>29.1</c:v>
                </c:pt>
                <c:pt idx="195">
                  <c:v>50</c:v>
                </c:pt>
                <c:pt idx="196">
                  <c:v>33.299999999999997</c:v>
                </c:pt>
                <c:pt idx="197">
                  <c:v>30.3</c:v>
                </c:pt>
                <c:pt idx="198">
                  <c:v>34.6</c:v>
                </c:pt>
                <c:pt idx="199">
                  <c:v>34.9</c:v>
                </c:pt>
                <c:pt idx="200">
                  <c:v>32.9</c:v>
                </c:pt>
                <c:pt idx="201">
                  <c:v>24.1</c:v>
                </c:pt>
                <c:pt idx="202">
                  <c:v>42.3</c:v>
                </c:pt>
                <c:pt idx="203">
                  <c:v>48.5</c:v>
                </c:pt>
                <c:pt idx="204">
                  <c:v>50</c:v>
                </c:pt>
                <c:pt idx="205">
                  <c:v>22.6</c:v>
                </c:pt>
                <c:pt idx="206">
                  <c:v>24.4</c:v>
                </c:pt>
                <c:pt idx="207">
                  <c:v>22.5</c:v>
                </c:pt>
                <c:pt idx="208">
                  <c:v>24.4</c:v>
                </c:pt>
                <c:pt idx="209">
                  <c:v>20</c:v>
                </c:pt>
                <c:pt idx="210">
                  <c:v>21.7</c:v>
                </c:pt>
                <c:pt idx="211">
                  <c:v>19.3</c:v>
                </c:pt>
                <c:pt idx="212">
                  <c:v>22.4</c:v>
                </c:pt>
                <c:pt idx="213">
                  <c:v>28.1</c:v>
                </c:pt>
                <c:pt idx="214">
                  <c:v>23.7</c:v>
                </c:pt>
                <c:pt idx="215">
                  <c:v>25</c:v>
                </c:pt>
                <c:pt idx="216">
                  <c:v>23.3</c:v>
                </c:pt>
                <c:pt idx="217">
                  <c:v>28.7</c:v>
                </c:pt>
                <c:pt idx="218">
                  <c:v>21.5</c:v>
                </c:pt>
                <c:pt idx="219">
                  <c:v>23</c:v>
                </c:pt>
                <c:pt idx="220">
                  <c:v>26.7</c:v>
                </c:pt>
                <c:pt idx="221">
                  <c:v>21.7</c:v>
                </c:pt>
                <c:pt idx="222">
                  <c:v>27.5</c:v>
                </c:pt>
                <c:pt idx="223">
                  <c:v>30.1</c:v>
                </c:pt>
                <c:pt idx="224">
                  <c:v>44.8</c:v>
                </c:pt>
                <c:pt idx="225">
                  <c:v>50</c:v>
                </c:pt>
                <c:pt idx="226">
                  <c:v>37.6</c:v>
                </c:pt>
                <c:pt idx="227">
                  <c:v>31.6</c:v>
                </c:pt>
                <c:pt idx="228">
                  <c:v>46.7</c:v>
                </c:pt>
                <c:pt idx="229">
                  <c:v>31.5</c:v>
                </c:pt>
                <c:pt idx="230">
                  <c:v>24.3</c:v>
                </c:pt>
                <c:pt idx="231">
                  <c:v>31.7</c:v>
                </c:pt>
                <c:pt idx="232">
                  <c:v>41.7</c:v>
                </c:pt>
                <c:pt idx="233">
                  <c:v>48.3</c:v>
                </c:pt>
                <c:pt idx="234">
                  <c:v>29</c:v>
                </c:pt>
                <c:pt idx="235">
                  <c:v>24</c:v>
                </c:pt>
                <c:pt idx="236">
                  <c:v>25.1</c:v>
                </c:pt>
                <c:pt idx="237">
                  <c:v>31.5</c:v>
                </c:pt>
                <c:pt idx="238">
                  <c:v>23.7</c:v>
                </c:pt>
                <c:pt idx="239">
                  <c:v>23.3</c:v>
                </c:pt>
                <c:pt idx="240">
                  <c:v>22</c:v>
                </c:pt>
                <c:pt idx="241">
                  <c:v>20.100000000000001</c:v>
                </c:pt>
                <c:pt idx="242">
                  <c:v>22.2</c:v>
                </c:pt>
                <c:pt idx="243">
                  <c:v>23.7</c:v>
                </c:pt>
                <c:pt idx="244">
                  <c:v>17.600000000000001</c:v>
                </c:pt>
                <c:pt idx="245">
                  <c:v>18.5</c:v>
                </c:pt>
                <c:pt idx="246">
                  <c:v>24.3</c:v>
                </c:pt>
                <c:pt idx="247">
                  <c:v>20.5</c:v>
                </c:pt>
                <c:pt idx="248">
                  <c:v>24.5</c:v>
                </c:pt>
                <c:pt idx="249">
                  <c:v>26.2</c:v>
                </c:pt>
                <c:pt idx="250">
                  <c:v>24.4</c:v>
                </c:pt>
                <c:pt idx="251">
                  <c:v>24.8</c:v>
                </c:pt>
                <c:pt idx="252">
                  <c:v>29.6</c:v>
                </c:pt>
                <c:pt idx="253">
                  <c:v>42.8</c:v>
                </c:pt>
                <c:pt idx="254">
                  <c:v>21.9</c:v>
                </c:pt>
                <c:pt idx="255">
                  <c:v>20.9</c:v>
                </c:pt>
                <c:pt idx="256">
                  <c:v>44</c:v>
                </c:pt>
                <c:pt idx="257">
                  <c:v>50</c:v>
                </c:pt>
                <c:pt idx="258">
                  <c:v>36</c:v>
                </c:pt>
                <c:pt idx="259">
                  <c:v>30.1</c:v>
                </c:pt>
                <c:pt idx="260">
                  <c:v>33.799999999999997</c:v>
                </c:pt>
                <c:pt idx="261">
                  <c:v>43.1</c:v>
                </c:pt>
                <c:pt idx="262">
                  <c:v>48.8</c:v>
                </c:pt>
                <c:pt idx="263">
                  <c:v>31</c:v>
                </c:pt>
                <c:pt idx="264">
                  <c:v>36.5</c:v>
                </c:pt>
                <c:pt idx="265">
                  <c:v>22.8</c:v>
                </c:pt>
                <c:pt idx="266">
                  <c:v>30.7</c:v>
                </c:pt>
                <c:pt idx="267">
                  <c:v>50</c:v>
                </c:pt>
                <c:pt idx="268">
                  <c:v>43.5</c:v>
                </c:pt>
                <c:pt idx="269">
                  <c:v>20.7</c:v>
                </c:pt>
                <c:pt idx="270">
                  <c:v>21.1</c:v>
                </c:pt>
                <c:pt idx="271">
                  <c:v>25.2</c:v>
                </c:pt>
                <c:pt idx="272">
                  <c:v>24.4</c:v>
                </c:pt>
                <c:pt idx="273">
                  <c:v>35.200000000000003</c:v>
                </c:pt>
                <c:pt idx="274">
                  <c:v>32.4</c:v>
                </c:pt>
                <c:pt idx="275">
                  <c:v>32</c:v>
                </c:pt>
                <c:pt idx="276">
                  <c:v>33.200000000000003</c:v>
                </c:pt>
                <c:pt idx="277">
                  <c:v>33.1</c:v>
                </c:pt>
                <c:pt idx="278">
                  <c:v>29.1</c:v>
                </c:pt>
                <c:pt idx="279">
                  <c:v>35.1</c:v>
                </c:pt>
                <c:pt idx="280">
                  <c:v>45.4</c:v>
                </c:pt>
                <c:pt idx="281">
                  <c:v>35.4</c:v>
                </c:pt>
                <c:pt idx="282">
                  <c:v>46</c:v>
                </c:pt>
                <c:pt idx="283">
                  <c:v>50</c:v>
                </c:pt>
                <c:pt idx="284">
                  <c:v>32.200000000000003</c:v>
                </c:pt>
                <c:pt idx="285">
                  <c:v>22</c:v>
                </c:pt>
                <c:pt idx="286">
                  <c:v>20.100000000000001</c:v>
                </c:pt>
                <c:pt idx="287">
                  <c:v>23.2</c:v>
                </c:pt>
                <c:pt idx="288">
                  <c:v>22.3</c:v>
                </c:pt>
                <c:pt idx="289">
                  <c:v>24.8</c:v>
                </c:pt>
                <c:pt idx="290">
                  <c:v>28.5</c:v>
                </c:pt>
                <c:pt idx="291">
                  <c:v>37.299999999999997</c:v>
                </c:pt>
                <c:pt idx="292">
                  <c:v>27.9</c:v>
                </c:pt>
                <c:pt idx="293">
                  <c:v>23.9</c:v>
                </c:pt>
                <c:pt idx="294">
                  <c:v>21.7</c:v>
                </c:pt>
                <c:pt idx="295">
                  <c:v>28.6</c:v>
                </c:pt>
                <c:pt idx="296">
                  <c:v>27.1</c:v>
                </c:pt>
                <c:pt idx="297">
                  <c:v>20.3</c:v>
                </c:pt>
                <c:pt idx="298">
                  <c:v>22.5</c:v>
                </c:pt>
                <c:pt idx="299">
                  <c:v>29</c:v>
                </c:pt>
                <c:pt idx="300">
                  <c:v>24.8</c:v>
                </c:pt>
                <c:pt idx="301">
                  <c:v>22</c:v>
                </c:pt>
                <c:pt idx="302">
                  <c:v>26.4</c:v>
                </c:pt>
                <c:pt idx="303">
                  <c:v>33.1</c:v>
                </c:pt>
                <c:pt idx="304">
                  <c:v>36.1</c:v>
                </c:pt>
                <c:pt idx="305">
                  <c:v>28.4</c:v>
                </c:pt>
                <c:pt idx="306">
                  <c:v>33.4</c:v>
                </c:pt>
                <c:pt idx="307">
                  <c:v>28.2</c:v>
                </c:pt>
                <c:pt idx="308">
                  <c:v>22.8</c:v>
                </c:pt>
                <c:pt idx="309">
                  <c:v>20.3</c:v>
                </c:pt>
                <c:pt idx="310">
                  <c:v>16.100000000000001</c:v>
                </c:pt>
                <c:pt idx="311">
                  <c:v>22.1</c:v>
                </c:pt>
                <c:pt idx="312">
                  <c:v>19.399999999999999</c:v>
                </c:pt>
                <c:pt idx="313">
                  <c:v>21.6</c:v>
                </c:pt>
                <c:pt idx="314">
                  <c:v>23.8</c:v>
                </c:pt>
                <c:pt idx="315">
                  <c:v>16.2</c:v>
                </c:pt>
                <c:pt idx="316">
                  <c:v>17.8</c:v>
                </c:pt>
                <c:pt idx="317">
                  <c:v>19.8</c:v>
                </c:pt>
                <c:pt idx="318">
                  <c:v>23.1</c:v>
                </c:pt>
                <c:pt idx="319">
                  <c:v>21</c:v>
                </c:pt>
                <c:pt idx="320">
                  <c:v>23.8</c:v>
                </c:pt>
                <c:pt idx="321">
                  <c:v>23.1</c:v>
                </c:pt>
                <c:pt idx="322">
                  <c:v>20.399999999999999</c:v>
                </c:pt>
                <c:pt idx="323">
                  <c:v>18.5</c:v>
                </c:pt>
                <c:pt idx="324">
                  <c:v>25</c:v>
                </c:pt>
                <c:pt idx="325">
                  <c:v>24.6</c:v>
                </c:pt>
                <c:pt idx="326">
                  <c:v>23</c:v>
                </c:pt>
                <c:pt idx="327">
                  <c:v>22.2</c:v>
                </c:pt>
                <c:pt idx="328">
                  <c:v>19.3</c:v>
                </c:pt>
                <c:pt idx="329">
                  <c:v>22.6</c:v>
                </c:pt>
                <c:pt idx="330">
                  <c:v>19.8</c:v>
                </c:pt>
                <c:pt idx="331">
                  <c:v>17.100000000000001</c:v>
                </c:pt>
                <c:pt idx="332">
                  <c:v>19.399999999999999</c:v>
                </c:pt>
                <c:pt idx="333">
                  <c:v>22.2</c:v>
                </c:pt>
                <c:pt idx="334">
                  <c:v>20.7</c:v>
                </c:pt>
                <c:pt idx="335">
                  <c:v>21.1</c:v>
                </c:pt>
                <c:pt idx="336">
                  <c:v>19.5</c:v>
                </c:pt>
                <c:pt idx="337">
                  <c:v>18.5</c:v>
                </c:pt>
                <c:pt idx="338">
                  <c:v>20.6</c:v>
                </c:pt>
                <c:pt idx="339">
                  <c:v>19</c:v>
                </c:pt>
                <c:pt idx="340">
                  <c:v>18.7</c:v>
                </c:pt>
                <c:pt idx="341">
                  <c:v>32.700000000000003</c:v>
                </c:pt>
                <c:pt idx="342">
                  <c:v>16.5</c:v>
                </c:pt>
                <c:pt idx="343">
                  <c:v>23.9</c:v>
                </c:pt>
                <c:pt idx="344">
                  <c:v>31.2</c:v>
                </c:pt>
                <c:pt idx="345">
                  <c:v>17.5</c:v>
                </c:pt>
                <c:pt idx="346">
                  <c:v>17.2</c:v>
                </c:pt>
                <c:pt idx="347">
                  <c:v>23.1</c:v>
                </c:pt>
                <c:pt idx="348">
                  <c:v>24.5</c:v>
                </c:pt>
                <c:pt idx="349">
                  <c:v>26.6</c:v>
                </c:pt>
                <c:pt idx="350">
                  <c:v>22.9</c:v>
                </c:pt>
                <c:pt idx="351">
                  <c:v>24.1</c:v>
                </c:pt>
                <c:pt idx="352">
                  <c:v>18.600000000000001</c:v>
                </c:pt>
                <c:pt idx="353">
                  <c:v>30.1</c:v>
                </c:pt>
                <c:pt idx="354">
                  <c:v>18.2</c:v>
                </c:pt>
                <c:pt idx="355">
                  <c:v>20.6</c:v>
                </c:pt>
                <c:pt idx="356">
                  <c:v>17.8</c:v>
                </c:pt>
                <c:pt idx="357">
                  <c:v>21.7</c:v>
                </c:pt>
                <c:pt idx="358">
                  <c:v>22.7</c:v>
                </c:pt>
                <c:pt idx="359">
                  <c:v>22.6</c:v>
                </c:pt>
                <c:pt idx="360">
                  <c:v>25</c:v>
                </c:pt>
                <c:pt idx="361">
                  <c:v>19.899999999999999</c:v>
                </c:pt>
                <c:pt idx="362">
                  <c:v>20.8</c:v>
                </c:pt>
                <c:pt idx="363">
                  <c:v>16.8</c:v>
                </c:pt>
                <c:pt idx="364">
                  <c:v>21.9</c:v>
                </c:pt>
                <c:pt idx="365">
                  <c:v>27.5</c:v>
                </c:pt>
                <c:pt idx="366">
                  <c:v>21.9</c:v>
                </c:pt>
                <c:pt idx="367">
                  <c:v>23.1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13.8</c:v>
                </c:pt>
                <c:pt idx="374">
                  <c:v>13.8</c:v>
                </c:pt>
                <c:pt idx="375">
                  <c:v>15</c:v>
                </c:pt>
                <c:pt idx="376">
                  <c:v>13.9</c:v>
                </c:pt>
                <c:pt idx="377">
                  <c:v>13.3</c:v>
                </c:pt>
                <c:pt idx="378">
                  <c:v>13.1</c:v>
                </c:pt>
                <c:pt idx="379">
                  <c:v>10.199999999999999</c:v>
                </c:pt>
                <c:pt idx="380">
                  <c:v>10.4</c:v>
                </c:pt>
                <c:pt idx="381">
                  <c:v>10.9</c:v>
                </c:pt>
                <c:pt idx="382">
                  <c:v>11.3</c:v>
                </c:pt>
                <c:pt idx="383">
                  <c:v>12.3</c:v>
                </c:pt>
                <c:pt idx="384">
                  <c:v>8.8000000000000007</c:v>
                </c:pt>
                <c:pt idx="385">
                  <c:v>7.2</c:v>
                </c:pt>
                <c:pt idx="386">
                  <c:v>10.5</c:v>
                </c:pt>
                <c:pt idx="387">
                  <c:v>7.4</c:v>
                </c:pt>
                <c:pt idx="388">
                  <c:v>10.199999999999999</c:v>
                </c:pt>
                <c:pt idx="389">
                  <c:v>11.5</c:v>
                </c:pt>
                <c:pt idx="390">
                  <c:v>15.1</c:v>
                </c:pt>
                <c:pt idx="391">
                  <c:v>23.2</c:v>
                </c:pt>
                <c:pt idx="392">
                  <c:v>9.6999999999999993</c:v>
                </c:pt>
                <c:pt idx="393">
                  <c:v>13.8</c:v>
                </c:pt>
                <c:pt idx="394">
                  <c:v>12.7</c:v>
                </c:pt>
                <c:pt idx="395">
                  <c:v>13.1</c:v>
                </c:pt>
                <c:pt idx="396">
                  <c:v>12.5</c:v>
                </c:pt>
                <c:pt idx="397">
                  <c:v>8.5</c:v>
                </c:pt>
                <c:pt idx="398">
                  <c:v>5</c:v>
                </c:pt>
                <c:pt idx="399">
                  <c:v>6.3</c:v>
                </c:pt>
                <c:pt idx="400">
                  <c:v>5.6</c:v>
                </c:pt>
                <c:pt idx="401">
                  <c:v>7.2</c:v>
                </c:pt>
                <c:pt idx="402">
                  <c:v>12.1</c:v>
                </c:pt>
                <c:pt idx="403">
                  <c:v>8.3000000000000007</c:v>
                </c:pt>
                <c:pt idx="404">
                  <c:v>8.5</c:v>
                </c:pt>
                <c:pt idx="405">
                  <c:v>5</c:v>
                </c:pt>
                <c:pt idx="406">
                  <c:v>11.9</c:v>
                </c:pt>
                <c:pt idx="407">
                  <c:v>27.9</c:v>
                </c:pt>
                <c:pt idx="408">
                  <c:v>17.2</c:v>
                </c:pt>
                <c:pt idx="409">
                  <c:v>27.5</c:v>
                </c:pt>
                <c:pt idx="410">
                  <c:v>15</c:v>
                </c:pt>
                <c:pt idx="411">
                  <c:v>17.2</c:v>
                </c:pt>
                <c:pt idx="412">
                  <c:v>17.899999999999999</c:v>
                </c:pt>
                <c:pt idx="413">
                  <c:v>16.3</c:v>
                </c:pt>
                <c:pt idx="414">
                  <c:v>7</c:v>
                </c:pt>
                <c:pt idx="415">
                  <c:v>7.2</c:v>
                </c:pt>
                <c:pt idx="416">
                  <c:v>7.5</c:v>
                </c:pt>
                <c:pt idx="417">
                  <c:v>10.4</c:v>
                </c:pt>
                <c:pt idx="418">
                  <c:v>8.8000000000000007</c:v>
                </c:pt>
                <c:pt idx="419">
                  <c:v>8.4</c:v>
                </c:pt>
                <c:pt idx="420">
                  <c:v>16.7</c:v>
                </c:pt>
                <c:pt idx="421">
                  <c:v>14.2</c:v>
                </c:pt>
                <c:pt idx="422">
                  <c:v>20.8</c:v>
                </c:pt>
                <c:pt idx="423">
                  <c:v>13.4</c:v>
                </c:pt>
                <c:pt idx="424">
                  <c:v>11.7</c:v>
                </c:pt>
                <c:pt idx="425">
                  <c:v>8.3000000000000007</c:v>
                </c:pt>
                <c:pt idx="426">
                  <c:v>10.199999999999999</c:v>
                </c:pt>
                <c:pt idx="427">
                  <c:v>10.9</c:v>
                </c:pt>
                <c:pt idx="428">
                  <c:v>11</c:v>
                </c:pt>
                <c:pt idx="429">
                  <c:v>9.5</c:v>
                </c:pt>
                <c:pt idx="430">
                  <c:v>14.5</c:v>
                </c:pt>
                <c:pt idx="431">
                  <c:v>14.1</c:v>
                </c:pt>
                <c:pt idx="432">
                  <c:v>16.100000000000001</c:v>
                </c:pt>
                <c:pt idx="433">
                  <c:v>14.3</c:v>
                </c:pt>
                <c:pt idx="434">
                  <c:v>11.7</c:v>
                </c:pt>
                <c:pt idx="435">
                  <c:v>13.4</c:v>
                </c:pt>
                <c:pt idx="436">
                  <c:v>9.6</c:v>
                </c:pt>
                <c:pt idx="437">
                  <c:v>8.6999999999999993</c:v>
                </c:pt>
                <c:pt idx="438">
                  <c:v>8.4</c:v>
                </c:pt>
                <c:pt idx="439">
                  <c:v>12.8</c:v>
                </c:pt>
                <c:pt idx="440">
                  <c:v>10.5</c:v>
                </c:pt>
                <c:pt idx="441">
                  <c:v>17.100000000000001</c:v>
                </c:pt>
                <c:pt idx="442">
                  <c:v>18.399999999999999</c:v>
                </c:pt>
                <c:pt idx="443">
                  <c:v>15.4</c:v>
                </c:pt>
                <c:pt idx="444">
                  <c:v>10.8</c:v>
                </c:pt>
                <c:pt idx="445">
                  <c:v>11.8</c:v>
                </c:pt>
                <c:pt idx="446">
                  <c:v>14.9</c:v>
                </c:pt>
                <c:pt idx="447">
                  <c:v>12.6</c:v>
                </c:pt>
                <c:pt idx="448">
                  <c:v>14.1</c:v>
                </c:pt>
                <c:pt idx="449">
                  <c:v>13</c:v>
                </c:pt>
                <c:pt idx="450">
                  <c:v>13.4</c:v>
                </c:pt>
                <c:pt idx="451">
                  <c:v>15.2</c:v>
                </c:pt>
                <c:pt idx="452">
                  <c:v>16.100000000000001</c:v>
                </c:pt>
                <c:pt idx="453">
                  <c:v>17.8</c:v>
                </c:pt>
                <c:pt idx="454">
                  <c:v>14.9</c:v>
                </c:pt>
                <c:pt idx="455">
                  <c:v>14.1</c:v>
                </c:pt>
                <c:pt idx="456">
                  <c:v>12.7</c:v>
                </c:pt>
                <c:pt idx="457">
                  <c:v>13.5</c:v>
                </c:pt>
                <c:pt idx="458">
                  <c:v>14.9</c:v>
                </c:pt>
                <c:pt idx="459">
                  <c:v>20</c:v>
                </c:pt>
                <c:pt idx="460">
                  <c:v>16.399999999999999</c:v>
                </c:pt>
                <c:pt idx="461">
                  <c:v>17.7</c:v>
                </c:pt>
                <c:pt idx="462">
                  <c:v>19.5</c:v>
                </c:pt>
                <c:pt idx="463">
                  <c:v>20.2</c:v>
                </c:pt>
                <c:pt idx="464">
                  <c:v>21.4</c:v>
                </c:pt>
                <c:pt idx="465">
                  <c:v>19.899999999999999</c:v>
                </c:pt>
                <c:pt idx="466">
                  <c:v>19</c:v>
                </c:pt>
                <c:pt idx="467">
                  <c:v>19.100000000000001</c:v>
                </c:pt>
                <c:pt idx="468">
                  <c:v>19.100000000000001</c:v>
                </c:pt>
                <c:pt idx="469">
                  <c:v>20.100000000000001</c:v>
                </c:pt>
                <c:pt idx="470">
                  <c:v>19.899999999999999</c:v>
                </c:pt>
                <c:pt idx="471">
                  <c:v>19.600000000000001</c:v>
                </c:pt>
                <c:pt idx="472">
                  <c:v>23.2</c:v>
                </c:pt>
                <c:pt idx="473">
                  <c:v>29.8</c:v>
                </c:pt>
                <c:pt idx="474">
                  <c:v>13.8</c:v>
                </c:pt>
                <c:pt idx="475">
                  <c:v>13.3</c:v>
                </c:pt>
                <c:pt idx="476">
                  <c:v>16.7</c:v>
                </c:pt>
                <c:pt idx="477">
                  <c:v>12</c:v>
                </c:pt>
                <c:pt idx="478">
                  <c:v>14.6</c:v>
                </c:pt>
                <c:pt idx="479">
                  <c:v>21.4</c:v>
                </c:pt>
                <c:pt idx="480">
                  <c:v>23</c:v>
                </c:pt>
                <c:pt idx="481">
                  <c:v>23.7</c:v>
                </c:pt>
                <c:pt idx="482">
                  <c:v>25</c:v>
                </c:pt>
                <c:pt idx="483">
                  <c:v>21.8</c:v>
                </c:pt>
                <c:pt idx="484">
                  <c:v>20.6</c:v>
                </c:pt>
                <c:pt idx="485">
                  <c:v>21.2</c:v>
                </c:pt>
                <c:pt idx="486">
                  <c:v>19.100000000000001</c:v>
                </c:pt>
                <c:pt idx="487">
                  <c:v>20.6</c:v>
                </c:pt>
                <c:pt idx="488">
                  <c:v>15.2</c:v>
                </c:pt>
                <c:pt idx="489">
                  <c:v>7</c:v>
                </c:pt>
                <c:pt idx="490">
                  <c:v>8.1</c:v>
                </c:pt>
                <c:pt idx="491">
                  <c:v>13.6</c:v>
                </c:pt>
                <c:pt idx="492">
                  <c:v>20.100000000000001</c:v>
                </c:pt>
                <c:pt idx="493">
                  <c:v>21.8</c:v>
                </c:pt>
                <c:pt idx="494">
                  <c:v>24.5</c:v>
                </c:pt>
                <c:pt idx="495">
                  <c:v>23.1</c:v>
                </c:pt>
                <c:pt idx="496">
                  <c:v>19.7</c:v>
                </c:pt>
                <c:pt idx="497">
                  <c:v>18.3</c:v>
                </c:pt>
                <c:pt idx="498">
                  <c:v>21.2</c:v>
                </c:pt>
                <c:pt idx="499">
                  <c:v>17.5</c:v>
                </c:pt>
                <c:pt idx="500">
                  <c:v>16.8</c:v>
                </c:pt>
                <c:pt idx="501">
                  <c:v>22.4</c:v>
                </c:pt>
                <c:pt idx="502">
                  <c:v>20.6</c:v>
                </c:pt>
                <c:pt idx="503">
                  <c:v>23.9</c:v>
                </c:pt>
                <c:pt idx="504">
                  <c:v>22</c:v>
                </c:pt>
                <c:pt idx="505">
                  <c:v>11.9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D-47CD-A690-71C2217F2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754623"/>
        <c:axId val="1432755103"/>
      </c:scatterChart>
      <c:valAx>
        <c:axId val="143275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Nr. 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55103"/>
        <c:crosses val="autoZero"/>
        <c:crossBetween val="midCat"/>
      </c:valAx>
      <c:valAx>
        <c:axId val="143275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House Price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5462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boston!$N$1</c:f>
              <c:strCache>
                <c:ptCount val="1"/>
                <c:pt idx="0">
                  <c:v>medv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boston!$A$2:$A$507</c:f>
              <c:numCache>
                <c:formatCode>General</c:formatCode>
                <c:ptCount val="506"/>
                <c:pt idx="0">
                  <c:v>6.3200000000000001E-3</c:v>
                </c:pt>
                <c:pt idx="1">
                  <c:v>2.7310000000000001E-2</c:v>
                </c:pt>
                <c:pt idx="2">
                  <c:v>2.7289999999999998E-2</c:v>
                </c:pt>
                <c:pt idx="3">
                  <c:v>3.2370000000000003E-2</c:v>
                </c:pt>
                <c:pt idx="4">
                  <c:v>6.905E-2</c:v>
                </c:pt>
                <c:pt idx="5">
                  <c:v>2.9850000000000002E-2</c:v>
                </c:pt>
                <c:pt idx="6">
                  <c:v>8.8289999999999993E-2</c:v>
                </c:pt>
                <c:pt idx="7">
                  <c:v>0.14455000000000001</c:v>
                </c:pt>
                <c:pt idx="8">
                  <c:v>0.21124000000000001</c:v>
                </c:pt>
                <c:pt idx="9">
                  <c:v>0.17004</c:v>
                </c:pt>
                <c:pt idx="10">
                  <c:v>0.22489000000000001</c:v>
                </c:pt>
                <c:pt idx="11">
                  <c:v>0.11747</c:v>
                </c:pt>
                <c:pt idx="12">
                  <c:v>9.3780000000000002E-2</c:v>
                </c:pt>
                <c:pt idx="13">
                  <c:v>0.62975999999999999</c:v>
                </c:pt>
                <c:pt idx="14">
                  <c:v>0.63795999999999997</c:v>
                </c:pt>
                <c:pt idx="15">
                  <c:v>0.62739</c:v>
                </c:pt>
                <c:pt idx="16">
                  <c:v>1.05393</c:v>
                </c:pt>
                <c:pt idx="17">
                  <c:v>0.78420000000000001</c:v>
                </c:pt>
                <c:pt idx="18">
                  <c:v>0.80271000000000003</c:v>
                </c:pt>
                <c:pt idx="19">
                  <c:v>0.7258</c:v>
                </c:pt>
                <c:pt idx="20">
                  <c:v>1.25179</c:v>
                </c:pt>
                <c:pt idx="21">
                  <c:v>0.85204000000000002</c:v>
                </c:pt>
                <c:pt idx="22">
                  <c:v>1.23247</c:v>
                </c:pt>
                <c:pt idx="23">
                  <c:v>0.98843000000000003</c:v>
                </c:pt>
                <c:pt idx="24">
                  <c:v>0.75026000000000004</c:v>
                </c:pt>
                <c:pt idx="25">
                  <c:v>0.84053999999999995</c:v>
                </c:pt>
                <c:pt idx="26">
                  <c:v>0.67191000000000001</c:v>
                </c:pt>
                <c:pt idx="27">
                  <c:v>0.95577000000000001</c:v>
                </c:pt>
                <c:pt idx="28">
                  <c:v>0.77298999999999995</c:v>
                </c:pt>
                <c:pt idx="29">
                  <c:v>1.0024500000000001</c:v>
                </c:pt>
                <c:pt idx="30">
                  <c:v>1.1308100000000001</c:v>
                </c:pt>
                <c:pt idx="31">
                  <c:v>1.3547199999999999</c:v>
                </c:pt>
                <c:pt idx="32">
                  <c:v>1.3879900000000001</c:v>
                </c:pt>
                <c:pt idx="33">
                  <c:v>1.1517200000000001</c:v>
                </c:pt>
                <c:pt idx="34">
                  <c:v>1.6128199999999999</c:v>
                </c:pt>
                <c:pt idx="35">
                  <c:v>6.4170000000000005E-2</c:v>
                </c:pt>
                <c:pt idx="36">
                  <c:v>9.7439999999999999E-2</c:v>
                </c:pt>
                <c:pt idx="37">
                  <c:v>8.0140000000000003E-2</c:v>
                </c:pt>
                <c:pt idx="38">
                  <c:v>0.17505000000000001</c:v>
                </c:pt>
                <c:pt idx="39">
                  <c:v>2.7629999999999998E-2</c:v>
                </c:pt>
                <c:pt idx="40">
                  <c:v>3.3590000000000002E-2</c:v>
                </c:pt>
                <c:pt idx="41">
                  <c:v>0.12744</c:v>
                </c:pt>
                <c:pt idx="42">
                  <c:v>0.14149999999999999</c:v>
                </c:pt>
                <c:pt idx="43">
                  <c:v>0.15936</c:v>
                </c:pt>
                <c:pt idx="44">
                  <c:v>0.12268999999999999</c:v>
                </c:pt>
                <c:pt idx="45">
                  <c:v>0.17141999999999999</c:v>
                </c:pt>
                <c:pt idx="46">
                  <c:v>0.18836</c:v>
                </c:pt>
                <c:pt idx="47">
                  <c:v>0.22927</c:v>
                </c:pt>
                <c:pt idx="48">
                  <c:v>0.25386999999999998</c:v>
                </c:pt>
                <c:pt idx="49">
                  <c:v>0.21976999999999999</c:v>
                </c:pt>
                <c:pt idx="50">
                  <c:v>8.8730000000000003E-2</c:v>
                </c:pt>
                <c:pt idx="51">
                  <c:v>4.3369999999999999E-2</c:v>
                </c:pt>
                <c:pt idx="52">
                  <c:v>5.3600000000000002E-2</c:v>
                </c:pt>
                <c:pt idx="53">
                  <c:v>4.981E-2</c:v>
                </c:pt>
                <c:pt idx="54">
                  <c:v>1.3599999999999999E-2</c:v>
                </c:pt>
                <c:pt idx="55">
                  <c:v>1.311E-2</c:v>
                </c:pt>
                <c:pt idx="56">
                  <c:v>2.0549999999999999E-2</c:v>
                </c:pt>
                <c:pt idx="57">
                  <c:v>1.4319999999999999E-2</c:v>
                </c:pt>
                <c:pt idx="58">
                  <c:v>0.15445</c:v>
                </c:pt>
                <c:pt idx="59">
                  <c:v>0.10328</c:v>
                </c:pt>
                <c:pt idx="60">
                  <c:v>0.14932000000000001</c:v>
                </c:pt>
                <c:pt idx="61">
                  <c:v>0.17171</c:v>
                </c:pt>
                <c:pt idx="62">
                  <c:v>0.11027000000000001</c:v>
                </c:pt>
                <c:pt idx="63">
                  <c:v>0.1265</c:v>
                </c:pt>
                <c:pt idx="64">
                  <c:v>1.951E-2</c:v>
                </c:pt>
                <c:pt idx="65">
                  <c:v>3.5839999999999997E-2</c:v>
                </c:pt>
                <c:pt idx="66">
                  <c:v>4.3790000000000003E-2</c:v>
                </c:pt>
                <c:pt idx="67">
                  <c:v>5.7889999999999997E-2</c:v>
                </c:pt>
                <c:pt idx="68">
                  <c:v>0.13553999999999999</c:v>
                </c:pt>
                <c:pt idx="69">
                  <c:v>0.12816</c:v>
                </c:pt>
                <c:pt idx="70">
                  <c:v>8.8260000000000005E-2</c:v>
                </c:pt>
                <c:pt idx="71">
                  <c:v>0.15876000000000001</c:v>
                </c:pt>
                <c:pt idx="72">
                  <c:v>9.1639999999999999E-2</c:v>
                </c:pt>
                <c:pt idx="73">
                  <c:v>0.19539000000000001</c:v>
                </c:pt>
                <c:pt idx="74">
                  <c:v>7.8960000000000002E-2</c:v>
                </c:pt>
                <c:pt idx="75">
                  <c:v>9.5119999999999996E-2</c:v>
                </c:pt>
                <c:pt idx="76">
                  <c:v>0.10153</c:v>
                </c:pt>
                <c:pt idx="77">
                  <c:v>8.7069999999999995E-2</c:v>
                </c:pt>
                <c:pt idx="78">
                  <c:v>5.6460000000000003E-2</c:v>
                </c:pt>
                <c:pt idx="79">
                  <c:v>8.387E-2</c:v>
                </c:pt>
                <c:pt idx="80">
                  <c:v>4.113E-2</c:v>
                </c:pt>
                <c:pt idx="81">
                  <c:v>4.462E-2</c:v>
                </c:pt>
                <c:pt idx="82">
                  <c:v>3.6589999999999998E-2</c:v>
                </c:pt>
                <c:pt idx="83">
                  <c:v>3.551E-2</c:v>
                </c:pt>
                <c:pt idx="84">
                  <c:v>5.0590000000000003E-2</c:v>
                </c:pt>
                <c:pt idx="85">
                  <c:v>5.7349999999999998E-2</c:v>
                </c:pt>
                <c:pt idx="86">
                  <c:v>5.1880000000000003E-2</c:v>
                </c:pt>
                <c:pt idx="87">
                  <c:v>7.1510000000000004E-2</c:v>
                </c:pt>
                <c:pt idx="88">
                  <c:v>5.6599999999999998E-2</c:v>
                </c:pt>
                <c:pt idx="89">
                  <c:v>5.3019999999999998E-2</c:v>
                </c:pt>
                <c:pt idx="90">
                  <c:v>4.684E-2</c:v>
                </c:pt>
                <c:pt idx="91">
                  <c:v>3.9320000000000001E-2</c:v>
                </c:pt>
                <c:pt idx="92">
                  <c:v>4.2029999999999998E-2</c:v>
                </c:pt>
                <c:pt idx="93">
                  <c:v>2.8750000000000001E-2</c:v>
                </c:pt>
                <c:pt idx="94">
                  <c:v>4.2939999999999999E-2</c:v>
                </c:pt>
                <c:pt idx="95">
                  <c:v>0.12204</c:v>
                </c:pt>
                <c:pt idx="96">
                  <c:v>0.11504</c:v>
                </c:pt>
                <c:pt idx="97">
                  <c:v>0.12083000000000001</c:v>
                </c:pt>
                <c:pt idx="98">
                  <c:v>8.1869999999999998E-2</c:v>
                </c:pt>
                <c:pt idx="99">
                  <c:v>6.8599999999999994E-2</c:v>
                </c:pt>
                <c:pt idx="100">
                  <c:v>0.14865999999999999</c:v>
                </c:pt>
                <c:pt idx="101">
                  <c:v>0.11432</c:v>
                </c:pt>
                <c:pt idx="102">
                  <c:v>0.22875999999999999</c:v>
                </c:pt>
                <c:pt idx="103">
                  <c:v>0.21160999999999999</c:v>
                </c:pt>
                <c:pt idx="104">
                  <c:v>0.1396</c:v>
                </c:pt>
                <c:pt idx="105">
                  <c:v>0.13261999999999999</c:v>
                </c:pt>
                <c:pt idx="106">
                  <c:v>0.17119999999999999</c:v>
                </c:pt>
                <c:pt idx="107">
                  <c:v>0.13117000000000001</c:v>
                </c:pt>
                <c:pt idx="108">
                  <c:v>0.12801999999999999</c:v>
                </c:pt>
                <c:pt idx="109">
                  <c:v>0.26362999999999998</c:v>
                </c:pt>
                <c:pt idx="110">
                  <c:v>0.10793</c:v>
                </c:pt>
                <c:pt idx="111">
                  <c:v>0.10084</c:v>
                </c:pt>
                <c:pt idx="112">
                  <c:v>0.12329</c:v>
                </c:pt>
                <c:pt idx="113">
                  <c:v>0.22212000000000001</c:v>
                </c:pt>
                <c:pt idx="114">
                  <c:v>0.14230999999999999</c:v>
                </c:pt>
                <c:pt idx="115">
                  <c:v>0.17133999999999999</c:v>
                </c:pt>
                <c:pt idx="116">
                  <c:v>0.13158</c:v>
                </c:pt>
                <c:pt idx="117">
                  <c:v>0.15098</c:v>
                </c:pt>
                <c:pt idx="118">
                  <c:v>0.13058</c:v>
                </c:pt>
                <c:pt idx="119">
                  <c:v>0.14476</c:v>
                </c:pt>
                <c:pt idx="120">
                  <c:v>6.8989999999999996E-2</c:v>
                </c:pt>
                <c:pt idx="121">
                  <c:v>7.1650000000000005E-2</c:v>
                </c:pt>
                <c:pt idx="122">
                  <c:v>9.2990000000000003E-2</c:v>
                </c:pt>
                <c:pt idx="123">
                  <c:v>0.15038000000000001</c:v>
                </c:pt>
                <c:pt idx="124">
                  <c:v>9.8489999999999994E-2</c:v>
                </c:pt>
                <c:pt idx="125">
                  <c:v>0.16902</c:v>
                </c:pt>
                <c:pt idx="126">
                  <c:v>0.38735000000000003</c:v>
                </c:pt>
                <c:pt idx="127">
                  <c:v>0.25914999999999999</c:v>
                </c:pt>
                <c:pt idx="128">
                  <c:v>0.32543</c:v>
                </c:pt>
                <c:pt idx="129">
                  <c:v>0.88124999999999998</c:v>
                </c:pt>
                <c:pt idx="130">
                  <c:v>0.34005999999999997</c:v>
                </c:pt>
                <c:pt idx="131">
                  <c:v>1.1929399999999999</c:v>
                </c:pt>
                <c:pt idx="132">
                  <c:v>0.59004999999999996</c:v>
                </c:pt>
                <c:pt idx="133">
                  <c:v>0.32982</c:v>
                </c:pt>
                <c:pt idx="134">
                  <c:v>0.97616999999999998</c:v>
                </c:pt>
                <c:pt idx="135">
                  <c:v>0.55778000000000005</c:v>
                </c:pt>
                <c:pt idx="136">
                  <c:v>0.32263999999999998</c:v>
                </c:pt>
                <c:pt idx="137">
                  <c:v>0.35232999999999998</c:v>
                </c:pt>
                <c:pt idx="138">
                  <c:v>0.24979999999999999</c:v>
                </c:pt>
                <c:pt idx="139">
                  <c:v>0.54452</c:v>
                </c:pt>
                <c:pt idx="140">
                  <c:v>0.29089999999999999</c:v>
                </c:pt>
                <c:pt idx="141">
                  <c:v>1.6286400000000001</c:v>
                </c:pt>
                <c:pt idx="142">
                  <c:v>3.3210500000000001</c:v>
                </c:pt>
                <c:pt idx="143">
                  <c:v>4.0974000000000004</c:v>
                </c:pt>
                <c:pt idx="144">
                  <c:v>2.7797399999999999</c:v>
                </c:pt>
                <c:pt idx="145">
                  <c:v>2.37934</c:v>
                </c:pt>
                <c:pt idx="146">
                  <c:v>2.1550500000000001</c:v>
                </c:pt>
                <c:pt idx="147">
                  <c:v>2.3686199999999999</c:v>
                </c:pt>
                <c:pt idx="148">
                  <c:v>2.3309899999999999</c:v>
                </c:pt>
                <c:pt idx="149">
                  <c:v>2.7339699999999998</c:v>
                </c:pt>
                <c:pt idx="150">
                  <c:v>1.6566000000000001</c:v>
                </c:pt>
                <c:pt idx="151">
                  <c:v>1.4963200000000001</c:v>
                </c:pt>
                <c:pt idx="152">
                  <c:v>1.1265799999999999</c:v>
                </c:pt>
                <c:pt idx="153">
                  <c:v>2.1491799999999999</c:v>
                </c:pt>
                <c:pt idx="154">
                  <c:v>1.4138500000000001</c:v>
                </c:pt>
                <c:pt idx="155">
                  <c:v>3.5350100000000002</c:v>
                </c:pt>
                <c:pt idx="156">
                  <c:v>2.4466800000000002</c:v>
                </c:pt>
                <c:pt idx="157">
                  <c:v>1.2235799999999999</c:v>
                </c:pt>
                <c:pt idx="158">
                  <c:v>1.34284</c:v>
                </c:pt>
                <c:pt idx="159">
                  <c:v>1.42502</c:v>
                </c:pt>
                <c:pt idx="160">
                  <c:v>1.27346</c:v>
                </c:pt>
                <c:pt idx="161">
                  <c:v>1.46336</c:v>
                </c:pt>
                <c:pt idx="162">
                  <c:v>1.8337699999999999</c:v>
                </c:pt>
                <c:pt idx="163">
                  <c:v>1.51902</c:v>
                </c:pt>
                <c:pt idx="164">
                  <c:v>2.2423600000000001</c:v>
                </c:pt>
                <c:pt idx="165">
                  <c:v>2.9239999999999999</c:v>
                </c:pt>
                <c:pt idx="166">
                  <c:v>2.0101900000000001</c:v>
                </c:pt>
                <c:pt idx="167">
                  <c:v>1.8002800000000001</c:v>
                </c:pt>
                <c:pt idx="168">
                  <c:v>2.3003999999999998</c:v>
                </c:pt>
                <c:pt idx="169">
                  <c:v>2.4495300000000002</c:v>
                </c:pt>
                <c:pt idx="170">
                  <c:v>1.2074199999999999</c:v>
                </c:pt>
                <c:pt idx="171">
                  <c:v>2.3138999999999998</c:v>
                </c:pt>
                <c:pt idx="172">
                  <c:v>0.13914000000000001</c:v>
                </c:pt>
                <c:pt idx="173">
                  <c:v>9.178E-2</c:v>
                </c:pt>
                <c:pt idx="174">
                  <c:v>8.4470000000000003E-2</c:v>
                </c:pt>
                <c:pt idx="175">
                  <c:v>6.6640000000000005E-2</c:v>
                </c:pt>
                <c:pt idx="176">
                  <c:v>7.0220000000000005E-2</c:v>
                </c:pt>
                <c:pt idx="177">
                  <c:v>5.425E-2</c:v>
                </c:pt>
                <c:pt idx="178">
                  <c:v>6.6420000000000007E-2</c:v>
                </c:pt>
                <c:pt idx="179">
                  <c:v>5.7799999999999997E-2</c:v>
                </c:pt>
                <c:pt idx="180">
                  <c:v>6.5879999999999994E-2</c:v>
                </c:pt>
                <c:pt idx="181">
                  <c:v>6.8879999999999997E-2</c:v>
                </c:pt>
                <c:pt idx="182">
                  <c:v>9.103E-2</c:v>
                </c:pt>
                <c:pt idx="183">
                  <c:v>0.10008</c:v>
                </c:pt>
                <c:pt idx="184">
                  <c:v>8.3080000000000001E-2</c:v>
                </c:pt>
                <c:pt idx="185">
                  <c:v>6.0470000000000003E-2</c:v>
                </c:pt>
                <c:pt idx="186">
                  <c:v>5.602E-2</c:v>
                </c:pt>
                <c:pt idx="187">
                  <c:v>7.8750000000000001E-2</c:v>
                </c:pt>
                <c:pt idx="188">
                  <c:v>0.12579000000000001</c:v>
                </c:pt>
                <c:pt idx="189">
                  <c:v>8.3699999999999997E-2</c:v>
                </c:pt>
                <c:pt idx="190">
                  <c:v>9.0679999999999997E-2</c:v>
                </c:pt>
                <c:pt idx="191">
                  <c:v>6.9110000000000005E-2</c:v>
                </c:pt>
                <c:pt idx="192">
                  <c:v>8.6639999999999995E-2</c:v>
                </c:pt>
                <c:pt idx="193">
                  <c:v>2.1870000000000001E-2</c:v>
                </c:pt>
                <c:pt idx="194">
                  <c:v>1.439E-2</c:v>
                </c:pt>
                <c:pt idx="195">
                  <c:v>1.3809999999999999E-2</c:v>
                </c:pt>
                <c:pt idx="196">
                  <c:v>4.011E-2</c:v>
                </c:pt>
                <c:pt idx="197">
                  <c:v>4.666E-2</c:v>
                </c:pt>
                <c:pt idx="198">
                  <c:v>3.7679999999999998E-2</c:v>
                </c:pt>
                <c:pt idx="199">
                  <c:v>3.15E-2</c:v>
                </c:pt>
                <c:pt idx="200">
                  <c:v>1.7780000000000001E-2</c:v>
                </c:pt>
                <c:pt idx="201">
                  <c:v>3.4450000000000001E-2</c:v>
                </c:pt>
                <c:pt idx="202">
                  <c:v>2.1770000000000001E-2</c:v>
                </c:pt>
                <c:pt idx="203">
                  <c:v>3.5099999999999999E-2</c:v>
                </c:pt>
                <c:pt idx="204">
                  <c:v>2.009E-2</c:v>
                </c:pt>
                <c:pt idx="205">
                  <c:v>0.13642000000000001</c:v>
                </c:pt>
                <c:pt idx="206">
                  <c:v>0.22969000000000001</c:v>
                </c:pt>
                <c:pt idx="207">
                  <c:v>0.25198999999999999</c:v>
                </c:pt>
                <c:pt idx="208">
                  <c:v>0.13586999999999999</c:v>
                </c:pt>
                <c:pt idx="209">
                  <c:v>0.43570999999999999</c:v>
                </c:pt>
                <c:pt idx="210">
                  <c:v>0.17446</c:v>
                </c:pt>
                <c:pt idx="211">
                  <c:v>0.37578</c:v>
                </c:pt>
                <c:pt idx="212">
                  <c:v>0.21718999999999999</c:v>
                </c:pt>
                <c:pt idx="213">
                  <c:v>0.14052000000000001</c:v>
                </c:pt>
                <c:pt idx="214">
                  <c:v>0.28954999999999997</c:v>
                </c:pt>
                <c:pt idx="215">
                  <c:v>0.19802</c:v>
                </c:pt>
                <c:pt idx="216">
                  <c:v>4.5600000000000002E-2</c:v>
                </c:pt>
                <c:pt idx="217">
                  <c:v>7.0129999999999998E-2</c:v>
                </c:pt>
                <c:pt idx="218">
                  <c:v>0.11069</c:v>
                </c:pt>
                <c:pt idx="219">
                  <c:v>0.11425</c:v>
                </c:pt>
                <c:pt idx="220">
                  <c:v>0.35809000000000002</c:v>
                </c:pt>
                <c:pt idx="221">
                  <c:v>0.40771000000000002</c:v>
                </c:pt>
                <c:pt idx="222">
                  <c:v>0.62356</c:v>
                </c:pt>
                <c:pt idx="223">
                  <c:v>0.61470000000000002</c:v>
                </c:pt>
                <c:pt idx="224">
                  <c:v>0.31533</c:v>
                </c:pt>
                <c:pt idx="225">
                  <c:v>0.52693000000000001</c:v>
                </c:pt>
                <c:pt idx="226">
                  <c:v>0.38213999999999998</c:v>
                </c:pt>
                <c:pt idx="227">
                  <c:v>0.41238000000000002</c:v>
                </c:pt>
                <c:pt idx="228">
                  <c:v>0.29819000000000001</c:v>
                </c:pt>
                <c:pt idx="229">
                  <c:v>0.44178000000000001</c:v>
                </c:pt>
                <c:pt idx="230">
                  <c:v>0.53700000000000003</c:v>
                </c:pt>
                <c:pt idx="231">
                  <c:v>0.46295999999999998</c:v>
                </c:pt>
                <c:pt idx="232">
                  <c:v>0.57528999999999997</c:v>
                </c:pt>
                <c:pt idx="233">
                  <c:v>0.33146999999999999</c:v>
                </c:pt>
                <c:pt idx="234">
                  <c:v>0.44790999999999997</c:v>
                </c:pt>
                <c:pt idx="235">
                  <c:v>0.33045000000000002</c:v>
                </c:pt>
                <c:pt idx="236">
                  <c:v>0.52058000000000004</c:v>
                </c:pt>
                <c:pt idx="237">
                  <c:v>0.51183000000000001</c:v>
                </c:pt>
                <c:pt idx="238">
                  <c:v>8.2439999999999999E-2</c:v>
                </c:pt>
                <c:pt idx="239">
                  <c:v>9.2520000000000005E-2</c:v>
                </c:pt>
                <c:pt idx="240">
                  <c:v>0.11329</c:v>
                </c:pt>
                <c:pt idx="241">
                  <c:v>0.10612000000000001</c:v>
                </c:pt>
                <c:pt idx="242">
                  <c:v>0.10290000000000001</c:v>
                </c:pt>
                <c:pt idx="243">
                  <c:v>0.12756999999999999</c:v>
                </c:pt>
                <c:pt idx="244">
                  <c:v>0.20608000000000001</c:v>
                </c:pt>
                <c:pt idx="245">
                  <c:v>0.19133</c:v>
                </c:pt>
                <c:pt idx="246">
                  <c:v>0.33983000000000002</c:v>
                </c:pt>
                <c:pt idx="247">
                  <c:v>0.19656999999999999</c:v>
                </c:pt>
                <c:pt idx="248">
                  <c:v>0.16439000000000001</c:v>
                </c:pt>
                <c:pt idx="249">
                  <c:v>0.19073000000000001</c:v>
                </c:pt>
                <c:pt idx="250">
                  <c:v>0.14030000000000001</c:v>
                </c:pt>
                <c:pt idx="251">
                  <c:v>0.21409</c:v>
                </c:pt>
                <c:pt idx="252">
                  <c:v>8.2210000000000005E-2</c:v>
                </c:pt>
                <c:pt idx="253">
                  <c:v>0.36893999999999999</c:v>
                </c:pt>
                <c:pt idx="254">
                  <c:v>4.8189999999999997E-2</c:v>
                </c:pt>
                <c:pt idx="255">
                  <c:v>3.5479999999999998E-2</c:v>
                </c:pt>
                <c:pt idx="256">
                  <c:v>1.538E-2</c:v>
                </c:pt>
                <c:pt idx="257">
                  <c:v>0.61153999999999997</c:v>
                </c:pt>
                <c:pt idx="258">
                  <c:v>0.66351000000000004</c:v>
                </c:pt>
                <c:pt idx="259">
                  <c:v>0.65664999999999996</c:v>
                </c:pt>
                <c:pt idx="260">
                  <c:v>0.54010999999999998</c:v>
                </c:pt>
                <c:pt idx="261">
                  <c:v>0.53412000000000004</c:v>
                </c:pt>
                <c:pt idx="262">
                  <c:v>0.52014000000000005</c:v>
                </c:pt>
                <c:pt idx="263">
                  <c:v>0.82525999999999999</c:v>
                </c:pt>
                <c:pt idx="264">
                  <c:v>0.55006999999999995</c:v>
                </c:pt>
                <c:pt idx="265">
                  <c:v>0.76161999999999996</c:v>
                </c:pt>
                <c:pt idx="266">
                  <c:v>0.78569999999999995</c:v>
                </c:pt>
                <c:pt idx="267">
                  <c:v>0.57833999999999997</c:v>
                </c:pt>
                <c:pt idx="268">
                  <c:v>0.54049999999999998</c:v>
                </c:pt>
                <c:pt idx="269">
                  <c:v>9.0649999999999994E-2</c:v>
                </c:pt>
                <c:pt idx="270">
                  <c:v>0.29915999999999998</c:v>
                </c:pt>
                <c:pt idx="271">
                  <c:v>0.16211</c:v>
                </c:pt>
                <c:pt idx="272">
                  <c:v>0.11459999999999999</c:v>
                </c:pt>
                <c:pt idx="273">
                  <c:v>0.22187999999999999</c:v>
                </c:pt>
                <c:pt idx="274">
                  <c:v>5.6439999999999997E-2</c:v>
                </c:pt>
                <c:pt idx="275">
                  <c:v>9.604E-2</c:v>
                </c:pt>
                <c:pt idx="276">
                  <c:v>0.10469000000000001</c:v>
                </c:pt>
                <c:pt idx="277">
                  <c:v>6.1269999999999998E-2</c:v>
                </c:pt>
                <c:pt idx="278">
                  <c:v>7.9780000000000004E-2</c:v>
                </c:pt>
                <c:pt idx="279">
                  <c:v>0.21038000000000001</c:v>
                </c:pt>
                <c:pt idx="280">
                  <c:v>3.5779999999999999E-2</c:v>
                </c:pt>
                <c:pt idx="281">
                  <c:v>3.705E-2</c:v>
                </c:pt>
                <c:pt idx="282">
                  <c:v>6.1289999999999997E-2</c:v>
                </c:pt>
                <c:pt idx="283">
                  <c:v>1.5010000000000001E-2</c:v>
                </c:pt>
                <c:pt idx="284">
                  <c:v>9.0600000000000003E-3</c:v>
                </c:pt>
                <c:pt idx="285">
                  <c:v>1.0959999999999999E-2</c:v>
                </c:pt>
                <c:pt idx="286">
                  <c:v>1.9650000000000001E-2</c:v>
                </c:pt>
                <c:pt idx="287">
                  <c:v>3.8710000000000001E-2</c:v>
                </c:pt>
                <c:pt idx="288">
                  <c:v>4.5900000000000003E-2</c:v>
                </c:pt>
                <c:pt idx="289">
                  <c:v>4.2970000000000001E-2</c:v>
                </c:pt>
                <c:pt idx="290">
                  <c:v>3.5020000000000003E-2</c:v>
                </c:pt>
                <c:pt idx="291">
                  <c:v>7.886E-2</c:v>
                </c:pt>
                <c:pt idx="292">
                  <c:v>3.6150000000000002E-2</c:v>
                </c:pt>
                <c:pt idx="293">
                  <c:v>8.2650000000000001E-2</c:v>
                </c:pt>
                <c:pt idx="294">
                  <c:v>8.1989999999999993E-2</c:v>
                </c:pt>
                <c:pt idx="295">
                  <c:v>0.12931999999999999</c:v>
                </c:pt>
                <c:pt idx="296">
                  <c:v>5.3719999999999997E-2</c:v>
                </c:pt>
                <c:pt idx="297">
                  <c:v>0.14102999999999999</c:v>
                </c:pt>
                <c:pt idx="298">
                  <c:v>6.4659999999999995E-2</c:v>
                </c:pt>
                <c:pt idx="299">
                  <c:v>5.561E-2</c:v>
                </c:pt>
                <c:pt idx="300">
                  <c:v>4.4170000000000001E-2</c:v>
                </c:pt>
                <c:pt idx="301">
                  <c:v>3.5369999999999999E-2</c:v>
                </c:pt>
                <c:pt idx="302">
                  <c:v>9.2660000000000006E-2</c:v>
                </c:pt>
                <c:pt idx="303">
                  <c:v>0.1</c:v>
                </c:pt>
                <c:pt idx="304">
                  <c:v>5.5149999999999998E-2</c:v>
                </c:pt>
                <c:pt idx="305">
                  <c:v>5.4789999999999998E-2</c:v>
                </c:pt>
                <c:pt idx="306">
                  <c:v>7.5029999999999999E-2</c:v>
                </c:pt>
                <c:pt idx="307">
                  <c:v>4.9320000000000003E-2</c:v>
                </c:pt>
                <c:pt idx="308">
                  <c:v>0.49297999999999997</c:v>
                </c:pt>
                <c:pt idx="309">
                  <c:v>0.34939999999999999</c:v>
                </c:pt>
                <c:pt idx="310">
                  <c:v>2.6354799999999998</c:v>
                </c:pt>
                <c:pt idx="311">
                  <c:v>0.79040999999999995</c:v>
                </c:pt>
                <c:pt idx="312">
                  <c:v>0.26168999999999998</c:v>
                </c:pt>
                <c:pt idx="313">
                  <c:v>0.26938000000000001</c:v>
                </c:pt>
                <c:pt idx="314">
                  <c:v>0.36919999999999997</c:v>
                </c:pt>
                <c:pt idx="315">
                  <c:v>0.25356000000000001</c:v>
                </c:pt>
                <c:pt idx="316">
                  <c:v>0.31827</c:v>
                </c:pt>
                <c:pt idx="317">
                  <c:v>0.24521999999999999</c:v>
                </c:pt>
                <c:pt idx="318">
                  <c:v>0.40201999999999999</c:v>
                </c:pt>
                <c:pt idx="319">
                  <c:v>0.47547</c:v>
                </c:pt>
                <c:pt idx="320">
                  <c:v>0.1676</c:v>
                </c:pt>
                <c:pt idx="321">
                  <c:v>0.18159</c:v>
                </c:pt>
                <c:pt idx="322">
                  <c:v>0.35114000000000001</c:v>
                </c:pt>
                <c:pt idx="323">
                  <c:v>0.28392000000000001</c:v>
                </c:pt>
                <c:pt idx="324">
                  <c:v>0.34109</c:v>
                </c:pt>
                <c:pt idx="325">
                  <c:v>0.19186</c:v>
                </c:pt>
                <c:pt idx="326">
                  <c:v>0.30347000000000002</c:v>
                </c:pt>
                <c:pt idx="327">
                  <c:v>0.24102999999999999</c:v>
                </c:pt>
                <c:pt idx="328">
                  <c:v>6.6170000000000007E-2</c:v>
                </c:pt>
                <c:pt idx="329">
                  <c:v>6.7239999999999994E-2</c:v>
                </c:pt>
                <c:pt idx="330">
                  <c:v>4.5440000000000001E-2</c:v>
                </c:pt>
                <c:pt idx="331">
                  <c:v>5.0229999999999997E-2</c:v>
                </c:pt>
                <c:pt idx="332">
                  <c:v>3.4660000000000003E-2</c:v>
                </c:pt>
                <c:pt idx="333">
                  <c:v>5.083E-2</c:v>
                </c:pt>
                <c:pt idx="334">
                  <c:v>3.7379999999999997E-2</c:v>
                </c:pt>
                <c:pt idx="335">
                  <c:v>3.9609999999999999E-2</c:v>
                </c:pt>
                <c:pt idx="336">
                  <c:v>3.4270000000000002E-2</c:v>
                </c:pt>
                <c:pt idx="337">
                  <c:v>3.041E-2</c:v>
                </c:pt>
                <c:pt idx="338">
                  <c:v>3.3059999999999999E-2</c:v>
                </c:pt>
                <c:pt idx="339">
                  <c:v>5.4969999999999998E-2</c:v>
                </c:pt>
                <c:pt idx="340">
                  <c:v>6.1510000000000002E-2</c:v>
                </c:pt>
                <c:pt idx="341">
                  <c:v>1.3010000000000001E-2</c:v>
                </c:pt>
                <c:pt idx="342">
                  <c:v>2.4979999999999999E-2</c:v>
                </c:pt>
                <c:pt idx="343">
                  <c:v>2.5430000000000001E-2</c:v>
                </c:pt>
                <c:pt idx="344">
                  <c:v>3.049E-2</c:v>
                </c:pt>
                <c:pt idx="345">
                  <c:v>3.1130000000000001E-2</c:v>
                </c:pt>
                <c:pt idx="346">
                  <c:v>6.1620000000000001E-2</c:v>
                </c:pt>
                <c:pt idx="347">
                  <c:v>1.8700000000000001E-2</c:v>
                </c:pt>
                <c:pt idx="348">
                  <c:v>1.5010000000000001E-2</c:v>
                </c:pt>
                <c:pt idx="349">
                  <c:v>2.8989999999999998E-2</c:v>
                </c:pt>
                <c:pt idx="350">
                  <c:v>6.2109999999999999E-2</c:v>
                </c:pt>
                <c:pt idx="351">
                  <c:v>7.9500000000000001E-2</c:v>
                </c:pt>
                <c:pt idx="352">
                  <c:v>7.2440000000000004E-2</c:v>
                </c:pt>
                <c:pt idx="353">
                  <c:v>1.7090000000000001E-2</c:v>
                </c:pt>
                <c:pt idx="354">
                  <c:v>4.301E-2</c:v>
                </c:pt>
                <c:pt idx="355">
                  <c:v>0.10659</c:v>
                </c:pt>
                <c:pt idx="356">
                  <c:v>8.9829600000000003</c:v>
                </c:pt>
                <c:pt idx="357">
                  <c:v>3.8496999999999999</c:v>
                </c:pt>
                <c:pt idx="358">
                  <c:v>5.2017699999999998</c:v>
                </c:pt>
                <c:pt idx="359">
                  <c:v>4.2613099999999999</c:v>
                </c:pt>
                <c:pt idx="360">
                  <c:v>4.5419200000000002</c:v>
                </c:pt>
                <c:pt idx="361">
                  <c:v>3.83684</c:v>
                </c:pt>
                <c:pt idx="362">
                  <c:v>3.67822</c:v>
                </c:pt>
                <c:pt idx="363">
                  <c:v>4.2223899999999999</c:v>
                </c:pt>
                <c:pt idx="364">
                  <c:v>3.4742799999999998</c:v>
                </c:pt>
                <c:pt idx="365">
                  <c:v>4.5558699999999996</c:v>
                </c:pt>
                <c:pt idx="366">
                  <c:v>3.6969500000000002</c:v>
                </c:pt>
                <c:pt idx="367">
                  <c:v>13.5222</c:v>
                </c:pt>
                <c:pt idx="368">
                  <c:v>4.8982200000000002</c:v>
                </c:pt>
                <c:pt idx="369">
                  <c:v>5.6699799999999998</c:v>
                </c:pt>
                <c:pt idx="370">
                  <c:v>6.5387599999999999</c:v>
                </c:pt>
                <c:pt idx="371">
                  <c:v>9.2323000000000004</c:v>
                </c:pt>
                <c:pt idx="372">
                  <c:v>8.2672500000000007</c:v>
                </c:pt>
                <c:pt idx="373">
                  <c:v>11.1081</c:v>
                </c:pt>
                <c:pt idx="374">
                  <c:v>18.498200000000001</c:v>
                </c:pt>
                <c:pt idx="375">
                  <c:v>19.609100000000002</c:v>
                </c:pt>
                <c:pt idx="376">
                  <c:v>15.288</c:v>
                </c:pt>
                <c:pt idx="377">
                  <c:v>9.8234899999999996</c:v>
                </c:pt>
                <c:pt idx="378">
                  <c:v>23.648199999999999</c:v>
                </c:pt>
                <c:pt idx="379">
                  <c:v>17.866700000000002</c:v>
                </c:pt>
                <c:pt idx="380">
                  <c:v>88.976200000000006</c:v>
                </c:pt>
                <c:pt idx="381">
                  <c:v>15.8744</c:v>
                </c:pt>
                <c:pt idx="382">
                  <c:v>9.1870200000000004</c:v>
                </c:pt>
                <c:pt idx="383">
                  <c:v>7.9924799999999996</c:v>
                </c:pt>
                <c:pt idx="384">
                  <c:v>20.084900000000001</c:v>
                </c:pt>
                <c:pt idx="385">
                  <c:v>16.811800000000002</c:v>
                </c:pt>
                <c:pt idx="386">
                  <c:v>24.393799999999999</c:v>
                </c:pt>
                <c:pt idx="387">
                  <c:v>22.597100000000001</c:v>
                </c:pt>
                <c:pt idx="388">
                  <c:v>14.3337</c:v>
                </c:pt>
                <c:pt idx="389">
                  <c:v>8.1517400000000002</c:v>
                </c:pt>
                <c:pt idx="390">
                  <c:v>6.9621500000000003</c:v>
                </c:pt>
                <c:pt idx="391">
                  <c:v>5.29305</c:v>
                </c:pt>
                <c:pt idx="392">
                  <c:v>11.5779</c:v>
                </c:pt>
                <c:pt idx="393">
                  <c:v>8.6447599999999998</c:v>
                </c:pt>
                <c:pt idx="394">
                  <c:v>13.3598</c:v>
                </c:pt>
                <c:pt idx="395">
                  <c:v>8.7167499999999993</c:v>
                </c:pt>
                <c:pt idx="396">
                  <c:v>5.8720499999999998</c:v>
                </c:pt>
                <c:pt idx="397">
                  <c:v>7.6720199999999998</c:v>
                </c:pt>
                <c:pt idx="398">
                  <c:v>38.351799999999997</c:v>
                </c:pt>
                <c:pt idx="399">
                  <c:v>9.9165500000000009</c:v>
                </c:pt>
                <c:pt idx="400">
                  <c:v>25.046099999999999</c:v>
                </c:pt>
                <c:pt idx="401">
                  <c:v>14.2362</c:v>
                </c:pt>
                <c:pt idx="402">
                  <c:v>9.5957100000000004</c:v>
                </c:pt>
                <c:pt idx="403">
                  <c:v>24.8017</c:v>
                </c:pt>
                <c:pt idx="404">
                  <c:v>41.529200000000003</c:v>
                </c:pt>
                <c:pt idx="405">
                  <c:v>67.9208</c:v>
                </c:pt>
                <c:pt idx="406">
                  <c:v>20.716200000000001</c:v>
                </c:pt>
                <c:pt idx="407">
                  <c:v>11.9511</c:v>
                </c:pt>
                <c:pt idx="408">
                  <c:v>7.4038899999999996</c:v>
                </c:pt>
                <c:pt idx="409">
                  <c:v>14.4383</c:v>
                </c:pt>
                <c:pt idx="410">
                  <c:v>51.135800000000003</c:v>
                </c:pt>
                <c:pt idx="411">
                  <c:v>14.050700000000001</c:v>
                </c:pt>
                <c:pt idx="412">
                  <c:v>18.811</c:v>
                </c:pt>
                <c:pt idx="413">
                  <c:v>28.655799999999999</c:v>
                </c:pt>
                <c:pt idx="414">
                  <c:v>45.746099999999998</c:v>
                </c:pt>
                <c:pt idx="415">
                  <c:v>18.084599999999998</c:v>
                </c:pt>
                <c:pt idx="416">
                  <c:v>10.834199999999999</c:v>
                </c:pt>
                <c:pt idx="417">
                  <c:v>25.9406</c:v>
                </c:pt>
                <c:pt idx="418">
                  <c:v>73.534099999999995</c:v>
                </c:pt>
                <c:pt idx="419">
                  <c:v>11.8123</c:v>
                </c:pt>
                <c:pt idx="420">
                  <c:v>11.087400000000001</c:v>
                </c:pt>
                <c:pt idx="421">
                  <c:v>7.0225900000000001</c:v>
                </c:pt>
                <c:pt idx="422">
                  <c:v>12.0482</c:v>
                </c:pt>
                <c:pt idx="423">
                  <c:v>7.0504199999999999</c:v>
                </c:pt>
                <c:pt idx="424">
                  <c:v>8.7921200000000006</c:v>
                </c:pt>
                <c:pt idx="425">
                  <c:v>15.860300000000001</c:v>
                </c:pt>
                <c:pt idx="426">
                  <c:v>12.247199999999999</c:v>
                </c:pt>
                <c:pt idx="427">
                  <c:v>37.661900000000003</c:v>
                </c:pt>
                <c:pt idx="428">
                  <c:v>7.3671100000000003</c:v>
                </c:pt>
                <c:pt idx="429">
                  <c:v>9.3388899999999992</c:v>
                </c:pt>
                <c:pt idx="430">
                  <c:v>8.4921299999999995</c:v>
                </c:pt>
                <c:pt idx="431">
                  <c:v>10.0623</c:v>
                </c:pt>
                <c:pt idx="432">
                  <c:v>6.4440499999999998</c:v>
                </c:pt>
                <c:pt idx="433">
                  <c:v>5.5810700000000004</c:v>
                </c:pt>
                <c:pt idx="434">
                  <c:v>13.913399999999999</c:v>
                </c:pt>
                <c:pt idx="435">
                  <c:v>11.160399999999999</c:v>
                </c:pt>
                <c:pt idx="436">
                  <c:v>14.4208</c:v>
                </c:pt>
                <c:pt idx="437">
                  <c:v>15.177199999999999</c:v>
                </c:pt>
                <c:pt idx="438">
                  <c:v>13.678100000000001</c:v>
                </c:pt>
                <c:pt idx="439">
                  <c:v>9.3906299999999998</c:v>
                </c:pt>
                <c:pt idx="440">
                  <c:v>22.051100000000002</c:v>
                </c:pt>
                <c:pt idx="441">
                  <c:v>9.7241800000000005</c:v>
                </c:pt>
                <c:pt idx="442">
                  <c:v>5.6663699999999997</c:v>
                </c:pt>
                <c:pt idx="443">
                  <c:v>9.9665400000000002</c:v>
                </c:pt>
                <c:pt idx="444">
                  <c:v>12.802300000000001</c:v>
                </c:pt>
                <c:pt idx="445">
                  <c:v>10.671799999999999</c:v>
                </c:pt>
                <c:pt idx="446">
                  <c:v>6.2880700000000003</c:v>
                </c:pt>
                <c:pt idx="447">
                  <c:v>9.9248499999999993</c:v>
                </c:pt>
                <c:pt idx="448">
                  <c:v>9.3290900000000008</c:v>
                </c:pt>
                <c:pt idx="449">
                  <c:v>7.5260100000000003</c:v>
                </c:pt>
                <c:pt idx="450">
                  <c:v>6.7177199999999999</c:v>
                </c:pt>
                <c:pt idx="451">
                  <c:v>5.4411399999999999</c:v>
                </c:pt>
                <c:pt idx="452">
                  <c:v>5.0901699999999996</c:v>
                </c:pt>
                <c:pt idx="453">
                  <c:v>8.2480899999999995</c:v>
                </c:pt>
                <c:pt idx="454">
                  <c:v>9.5136299999999991</c:v>
                </c:pt>
                <c:pt idx="455">
                  <c:v>4.75237</c:v>
                </c:pt>
                <c:pt idx="456">
                  <c:v>4.6688299999999998</c:v>
                </c:pt>
                <c:pt idx="457">
                  <c:v>8.2005800000000004</c:v>
                </c:pt>
                <c:pt idx="458">
                  <c:v>7.75223</c:v>
                </c:pt>
                <c:pt idx="459">
                  <c:v>6.8011699999999999</c:v>
                </c:pt>
                <c:pt idx="460">
                  <c:v>4.8121299999999998</c:v>
                </c:pt>
                <c:pt idx="461">
                  <c:v>3.6931099999999999</c:v>
                </c:pt>
                <c:pt idx="462">
                  <c:v>6.6549199999999997</c:v>
                </c:pt>
                <c:pt idx="463">
                  <c:v>5.8211500000000003</c:v>
                </c:pt>
                <c:pt idx="464">
                  <c:v>7.8393199999999998</c:v>
                </c:pt>
                <c:pt idx="465">
                  <c:v>3.1636000000000002</c:v>
                </c:pt>
                <c:pt idx="466">
                  <c:v>3.7749799999999998</c:v>
                </c:pt>
                <c:pt idx="467">
                  <c:v>4.4222799999999998</c:v>
                </c:pt>
                <c:pt idx="468">
                  <c:v>15.575699999999999</c:v>
                </c:pt>
                <c:pt idx="469">
                  <c:v>13.075100000000001</c:v>
                </c:pt>
                <c:pt idx="470">
                  <c:v>4.3487900000000002</c:v>
                </c:pt>
                <c:pt idx="471">
                  <c:v>4.0384099999999998</c:v>
                </c:pt>
                <c:pt idx="472">
                  <c:v>3.5686800000000001</c:v>
                </c:pt>
                <c:pt idx="473">
                  <c:v>4.64689</c:v>
                </c:pt>
                <c:pt idx="474">
                  <c:v>8.05579</c:v>
                </c:pt>
                <c:pt idx="475">
                  <c:v>6.3931199999999997</c:v>
                </c:pt>
                <c:pt idx="476">
                  <c:v>4.87141</c:v>
                </c:pt>
                <c:pt idx="477">
                  <c:v>15.023400000000001</c:v>
                </c:pt>
                <c:pt idx="478">
                  <c:v>10.233000000000001</c:v>
                </c:pt>
                <c:pt idx="479">
                  <c:v>14.3337</c:v>
                </c:pt>
                <c:pt idx="480">
                  <c:v>5.8240100000000004</c:v>
                </c:pt>
                <c:pt idx="481">
                  <c:v>5.7081799999999996</c:v>
                </c:pt>
                <c:pt idx="482">
                  <c:v>5.73116</c:v>
                </c:pt>
                <c:pt idx="483">
                  <c:v>2.8183799999999999</c:v>
                </c:pt>
                <c:pt idx="484">
                  <c:v>2.3785699999999999</c:v>
                </c:pt>
                <c:pt idx="485">
                  <c:v>3.67367</c:v>
                </c:pt>
                <c:pt idx="486">
                  <c:v>5.6917499999999999</c:v>
                </c:pt>
                <c:pt idx="487">
                  <c:v>4.8356700000000004</c:v>
                </c:pt>
                <c:pt idx="488">
                  <c:v>0.15085999999999999</c:v>
                </c:pt>
                <c:pt idx="489">
                  <c:v>0.18337000000000001</c:v>
                </c:pt>
                <c:pt idx="490">
                  <c:v>0.20746000000000001</c:v>
                </c:pt>
                <c:pt idx="491">
                  <c:v>0.10574</c:v>
                </c:pt>
                <c:pt idx="492">
                  <c:v>0.11132</c:v>
                </c:pt>
                <c:pt idx="493">
                  <c:v>0.17330999999999999</c:v>
                </c:pt>
                <c:pt idx="494">
                  <c:v>0.27956999999999999</c:v>
                </c:pt>
                <c:pt idx="495">
                  <c:v>0.17899000000000001</c:v>
                </c:pt>
                <c:pt idx="496">
                  <c:v>0.28960000000000002</c:v>
                </c:pt>
                <c:pt idx="497">
                  <c:v>0.26838000000000001</c:v>
                </c:pt>
                <c:pt idx="498">
                  <c:v>0.23912</c:v>
                </c:pt>
                <c:pt idx="499">
                  <c:v>0.17782999999999999</c:v>
                </c:pt>
                <c:pt idx="500">
                  <c:v>0.22438</c:v>
                </c:pt>
                <c:pt idx="501">
                  <c:v>6.2630000000000005E-2</c:v>
                </c:pt>
                <c:pt idx="502">
                  <c:v>4.5269999999999998E-2</c:v>
                </c:pt>
                <c:pt idx="503">
                  <c:v>6.0760000000000002E-2</c:v>
                </c:pt>
                <c:pt idx="504">
                  <c:v>0.10959000000000001</c:v>
                </c:pt>
                <c:pt idx="505">
                  <c:v>4.7410000000000001E-2</c:v>
                </c:pt>
              </c:numCache>
            </c:numRef>
          </c:xVal>
          <c:yVal>
            <c:numRef>
              <c:f>boston!$N$2:$N$507</c:f>
              <c:numCache>
                <c:formatCode>General</c:formatCode>
                <c:ptCount val="506"/>
                <c:pt idx="0">
                  <c:v>24</c:v>
                </c:pt>
                <c:pt idx="1">
                  <c:v>21.6</c:v>
                </c:pt>
                <c:pt idx="2">
                  <c:v>34.700000000000003</c:v>
                </c:pt>
                <c:pt idx="3">
                  <c:v>33.4</c:v>
                </c:pt>
                <c:pt idx="4">
                  <c:v>36.200000000000003</c:v>
                </c:pt>
                <c:pt idx="5">
                  <c:v>28.7</c:v>
                </c:pt>
                <c:pt idx="6">
                  <c:v>22.9</c:v>
                </c:pt>
                <c:pt idx="7">
                  <c:v>27.1</c:v>
                </c:pt>
                <c:pt idx="8">
                  <c:v>16.5</c:v>
                </c:pt>
                <c:pt idx="9">
                  <c:v>18.899999999999999</c:v>
                </c:pt>
                <c:pt idx="10">
                  <c:v>15</c:v>
                </c:pt>
                <c:pt idx="11">
                  <c:v>18.899999999999999</c:v>
                </c:pt>
                <c:pt idx="12">
                  <c:v>21.7</c:v>
                </c:pt>
                <c:pt idx="13">
                  <c:v>20.399999999999999</c:v>
                </c:pt>
                <c:pt idx="14">
                  <c:v>18.2</c:v>
                </c:pt>
                <c:pt idx="15">
                  <c:v>19.899999999999999</c:v>
                </c:pt>
                <c:pt idx="16">
                  <c:v>23.1</c:v>
                </c:pt>
                <c:pt idx="17">
                  <c:v>17.5</c:v>
                </c:pt>
                <c:pt idx="18">
                  <c:v>20.2</c:v>
                </c:pt>
                <c:pt idx="19">
                  <c:v>18.2</c:v>
                </c:pt>
                <c:pt idx="20">
                  <c:v>13.6</c:v>
                </c:pt>
                <c:pt idx="21">
                  <c:v>19.600000000000001</c:v>
                </c:pt>
                <c:pt idx="22">
                  <c:v>15.2</c:v>
                </c:pt>
                <c:pt idx="23">
                  <c:v>14.5</c:v>
                </c:pt>
                <c:pt idx="24">
                  <c:v>15.6</c:v>
                </c:pt>
                <c:pt idx="25">
                  <c:v>13.9</c:v>
                </c:pt>
                <c:pt idx="26">
                  <c:v>16.600000000000001</c:v>
                </c:pt>
                <c:pt idx="27">
                  <c:v>14.8</c:v>
                </c:pt>
                <c:pt idx="28">
                  <c:v>18.399999999999999</c:v>
                </c:pt>
                <c:pt idx="29">
                  <c:v>21</c:v>
                </c:pt>
                <c:pt idx="30">
                  <c:v>12.7</c:v>
                </c:pt>
                <c:pt idx="31">
                  <c:v>14.5</c:v>
                </c:pt>
                <c:pt idx="32">
                  <c:v>13.2</c:v>
                </c:pt>
                <c:pt idx="33">
                  <c:v>13.1</c:v>
                </c:pt>
                <c:pt idx="34">
                  <c:v>13.5</c:v>
                </c:pt>
                <c:pt idx="35">
                  <c:v>18.899999999999999</c:v>
                </c:pt>
                <c:pt idx="36">
                  <c:v>20</c:v>
                </c:pt>
                <c:pt idx="37">
                  <c:v>21</c:v>
                </c:pt>
                <c:pt idx="38">
                  <c:v>24.7</c:v>
                </c:pt>
                <c:pt idx="39">
                  <c:v>30.8</c:v>
                </c:pt>
                <c:pt idx="40">
                  <c:v>34.9</c:v>
                </c:pt>
                <c:pt idx="41">
                  <c:v>26.6</c:v>
                </c:pt>
                <c:pt idx="42">
                  <c:v>25.3</c:v>
                </c:pt>
                <c:pt idx="43">
                  <c:v>24.7</c:v>
                </c:pt>
                <c:pt idx="44">
                  <c:v>21.2</c:v>
                </c:pt>
                <c:pt idx="45">
                  <c:v>19.3</c:v>
                </c:pt>
                <c:pt idx="46">
                  <c:v>20</c:v>
                </c:pt>
                <c:pt idx="47">
                  <c:v>16.600000000000001</c:v>
                </c:pt>
                <c:pt idx="48">
                  <c:v>14.4</c:v>
                </c:pt>
                <c:pt idx="49">
                  <c:v>19.399999999999999</c:v>
                </c:pt>
                <c:pt idx="50">
                  <c:v>19.7</c:v>
                </c:pt>
                <c:pt idx="51">
                  <c:v>20.5</c:v>
                </c:pt>
                <c:pt idx="52">
                  <c:v>25</c:v>
                </c:pt>
                <c:pt idx="53">
                  <c:v>23.4</c:v>
                </c:pt>
                <c:pt idx="54">
                  <c:v>18.899999999999999</c:v>
                </c:pt>
                <c:pt idx="55">
                  <c:v>35.4</c:v>
                </c:pt>
                <c:pt idx="56">
                  <c:v>24.7</c:v>
                </c:pt>
                <c:pt idx="57">
                  <c:v>31.6</c:v>
                </c:pt>
                <c:pt idx="58">
                  <c:v>23.3</c:v>
                </c:pt>
                <c:pt idx="59">
                  <c:v>19.600000000000001</c:v>
                </c:pt>
                <c:pt idx="60">
                  <c:v>18.7</c:v>
                </c:pt>
                <c:pt idx="61">
                  <c:v>16</c:v>
                </c:pt>
                <c:pt idx="62">
                  <c:v>22.2</c:v>
                </c:pt>
                <c:pt idx="63">
                  <c:v>25</c:v>
                </c:pt>
                <c:pt idx="64">
                  <c:v>33</c:v>
                </c:pt>
                <c:pt idx="65">
                  <c:v>23.5</c:v>
                </c:pt>
                <c:pt idx="66">
                  <c:v>19.399999999999999</c:v>
                </c:pt>
                <c:pt idx="67">
                  <c:v>22</c:v>
                </c:pt>
                <c:pt idx="68">
                  <c:v>17.399999999999999</c:v>
                </c:pt>
                <c:pt idx="69">
                  <c:v>20.9</c:v>
                </c:pt>
                <c:pt idx="70">
                  <c:v>24.2</c:v>
                </c:pt>
                <c:pt idx="71">
                  <c:v>21.7</c:v>
                </c:pt>
                <c:pt idx="72">
                  <c:v>22.8</c:v>
                </c:pt>
                <c:pt idx="73">
                  <c:v>23.4</c:v>
                </c:pt>
                <c:pt idx="74">
                  <c:v>24.1</c:v>
                </c:pt>
                <c:pt idx="75">
                  <c:v>21.4</c:v>
                </c:pt>
                <c:pt idx="76">
                  <c:v>20</c:v>
                </c:pt>
                <c:pt idx="77">
                  <c:v>20.8</c:v>
                </c:pt>
                <c:pt idx="78">
                  <c:v>21.2</c:v>
                </c:pt>
                <c:pt idx="79">
                  <c:v>20.3</c:v>
                </c:pt>
                <c:pt idx="80">
                  <c:v>28</c:v>
                </c:pt>
                <c:pt idx="81">
                  <c:v>23.9</c:v>
                </c:pt>
                <c:pt idx="82">
                  <c:v>24.8</c:v>
                </c:pt>
                <c:pt idx="83">
                  <c:v>22.9</c:v>
                </c:pt>
                <c:pt idx="84">
                  <c:v>23.9</c:v>
                </c:pt>
                <c:pt idx="85">
                  <c:v>26.6</c:v>
                </c:pt>
                <c:pt idx="86">
                  <c:v>22.5</c:v>
                </c:pt>
                <c:pt idx="87">
                  <c:v>22.2</c:v>
                </c:pt>
                <c:pt idx="88">
                  <c:v>23.6</c:v>
                </c:pt>
                <c:pt idx="89">
                  <c:v>28.7</c:v>
                </c:pt>
                <c:pt idx="90">
                  <c:v>22.6</c:v>
                </c:pt>
                <c:pt idx="91">
                  <c:v>22</c:v>
                </c:pt>
                <c:pt idx="92">
                  <c:v>22.9</c:v>
                </c:pt>
                <c:pt idx="93">
                  <c:v>25</c:v>
                </c:pt>
                <c:pt idx="94">
                  <c:v>20.6</c:v>
                </c:pt>
                <c:pt idx="95">
                  <c:v>28.4</c:v>
                </c:pt>
                <c:pt idx="96">
                  <c:v>21.4</c:v>
                </c:pt>
                <c:pt idx="97">
                  <c:v>38.700000000000003</c:v>
                </c:pt>
                <c:pt idx="98">
                  <c:v>43.8</c:v>
                </c:pt>
                <c:pt idx="99">
                  <c:v>33.200000000000003</c:v>
                </c:pt>
                <c:pt idx="100">
                  <c:v>27.5</c:v>
                </c:pt>
                <c:pt idx="101">
                  <c:v>26.5</c:v>
                </c:pt>
                <c:pt idx="102">
                  <c:v>18.600000000000001</c:v>
                </c:pt>
                <c:pt idx="103">
                  <c:v>19.3</c:v>
                </c:pt>
                <c:pt idx="104">
                  <c:v>20.100000000000001</c:v>
                </c:pt>
                <c:pt idx="105">
                  <c:v>19.5</c:v>
                </c:pt>
                <c:pt idx="106">
                  <c:v>19.5</c:v>
                </c:pt>
                <c:pt idx="107">
                  <c:v>20.399999999999999</c:v>
                </c:pt>
                <c:pt idx="108">
                  <c:v>19.8</c:v>
                </c:pt>
                <c:pt idx="109">
                  <c:v>19.399999999999999</c:v>
                </c:pt>
                <c:pt idx="110">
                  <c:v>21.7</c:v>
                </c:pt>
                <c:pt idx="111">
                  <c:v>22.8</c:v>
                </c:pt>
                <c:pt idx="112">
                  <c:v>18.8</c:v>
                </c:pt>
                <c:pt idx="113">
                  <c:v>18.7</c:v>
                </c:pt>
                <c:pt idx="114">
                  <c:v>18.5</c:v>
                </c:pt>
                <c:pt idx="115">
                  <c:v>18.3</c:v>
                </c:pt>
                <c:pt idx="116">
                  <c:v>21.2</c:v>
                </c:pt>
                <c:pt idx="117">
                  <c:v>19.2</c:v>
                </c:pt>
                <c:pt idx="118">
                  <c:v>20.399999999999999</c:v>
                </c:pt>
                <c:pt idx="119">
                  <c:v>19.3</c:v>
                </c:pt>
                <c:pt idx="120">
                  <c:v>22</c:v>
                </c:pt>
                <c:pt idx="121">
                  <c:v>20.3</c:v>
                </c:pt>
                <c:pt idx="122">
                  <c:v>20.5</c:v>
                </c:pt>
                <c:pt idx="123">
                  <c:v>17.3</c:v>
                </c:pt>
                <c:pt idx="124">
                  <c:v>18.8</c:v>
                </c:pt>
                <c:pt idx="125">
                  <c:v>21.4</c:v>
                </c:pt>
                <c:pt idx="126">
                  <c:v>15.7</c:v>
                </c:pt>
                <c:pt idx="127">
                  <c:v>16.2</c:v>
                </c:pt>
                <c:pt idx="128">
                  <c:v>18</c:v>
                </c:pt>
                <c:pt idx="129">
                  <c:v>14.3</c:v>
                </c:pt>
                <c:pt idx="130">
                  <c:v>19.2</c:v>
                </c:pt>
                <c:pt idx="131">
                  <c:v>19.600000000000001</c:v>
                </c:pt>
                <c:pt idx="132">
                  <c:v>23</c:v>
                </c:pt>
                <c:pt idx="133">
                  <c:v>18.399999999999999</c:v>
                </c:pt>
                <c:pt idx="134">
                  <c:v>15.6</c:v>
                </c:pt>
                <c:pt idx="135">
                  <c:v>18.100000000000001</c:v>
                </c:pt>
                <c:pt idx="136">
                  <c:v>17.399999999999999</c:v>
                </c:pt>
                <c:pt idx="137">
                  <c:v>17.100000000000001</c:v>
                </c:pt>
                <c:pt idx="138">
                  <c:v>13.3</c:v>
                </c:pt>
                <c:pt idx="139">
                  <c:v>17.8</c:v>
                </c:pt>
                <c:pt idx="140">
                  <c:v>14</c:v>
                </c:pt>
                <c:pt idx="141">
                  <c:v>14.4</c:v>
                </c:pt>
                <c:pt idx="142">
                  <c:v>13.4</c:v>
                </c:pt>
                <c:pt idx="143">
                  <c:v>15.6</c:v>
                </c:pt>
                <c:pt idx="144">
                  <c:v>11.8</c:v>
                </c:pt>
                <c:pt idx="145">
                  <c:v>13.8</c:v>
                </c:pt>
                <c:pt idx="146">
                  <c:v>15.6</c:v>
                </c:pt>
                <c:pt idx="147">
                  <c:v>14.6</c:v>
                </c:pt>
                <c:pt idx="148">
                  <c:v>17.8</c:v>
                </c:pt>
                <c:pt idx="149">
                  <c:v>15.4</c:v>
                </c:pt>
                <c:pt idx="150">
                  <c:v>21.5</c:v>
                </c:pt>
                <c:pt idx="151">
                  <c:v>19.600000000000001</c:v>
                </c:pt>
                <c:pt idx="152">
                  <c:v>15.3</c:v>
                </c:pt>
                <c:pt idx="153">
                  <c:v>19.399999999999999</c:v>
                </c:pt>
                <c:pt idx="154">
                  <c:v>17</c:v>
                </c:pt>
                <c:pt idx="155">
                  <c:v>15.6</c:v>
                </c:pt>
                <c:pt idx="156">
                  <c:v>13.1</c:v>
                </c:pt>
                <c:pt idx="157">
                  <c:v>41.3</c:v>
                </c:pt>
                <c:pt idx="158">
                  <c:v>24.3</c:v>
                </c:pt>
                <c:pt idx="159">
                  <c:v>23.3</c:v>
                </c:pt>
                <c:pt idx="160">
                  <c:v>27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22.7</c:v>
                </c:pt>
                <c:pt idx="165">
                  <c:v>25</c:v>
                </c:pt>
                <c:pt idx="166">
                  <c:v>50</c:v>
                </c:pt>
                <c:pt idx="167">
                  <c:v>23.8</c:v>
                </c:pt>
                <c:pt idx="168">
                  <c:v>23.8</c:v>
                </c:pt>
                <c:pt idx="169">
                  <c:v>22.3</c:v>
                </c:pt>
                <c:pt idx="170">
                  <c:v>17.399999999999999</c:v>
                </c:pt>
                <c:pt idx="171">
                  <c:v>19.100000000000001</c:v>
                </c:pt>
                <c:pt idx="172">
                  <c:v>23.1</c:v>
                </c:pt>
                <c:pt idx="173">
                  <c:v>23.6</c:v>
                </c:pt>
                <c:pt idx="174">
                  <c:v>22.6</c:v>
                </c:pt>
                <c:pt idx="175">
                  <c:v>29.4</c:v>
                </c:pt>
                <c:pt idx="176">
                  <c:v>23.2</c:v>
                </c:pt>
                <c:pt idx="177">
                  <c:v>24.6</c:v>
                </c:pt>
                <c:pt idx="178">
                  <c:v>29.9</c:v>
                </c:pt>
                <c:pt idx="179">
                  <c:v>37.200000000000003</c:v>
                </c:pt>
                <c:pt idx="180">
                  <c:v>39.799999999999997</c:v>
                </c:pt>
                <c:pt idx="181">
                  <c:v>36.200000000000003</c:v>
                </c:pt>
                <c:pt idx="182">
                  <c:v>37.9</c:v>
                </c:pt>
                <c:pt idx="183">
                  <c:v>32.5</c:v>
                </c:pt>
                <c:pt idx="184">
                  <c:v>26.4</c:v>
                </c:pt>
                <c:pt idx="185">
                  <c:v>29.6</c:v>
                </c:pt>
                <c:pt idx="186">
                  <c:v>50</c:v>
                </c:pt>
                <c:pt idx="187">
                  <c:v>32</c:v>
                </c:pt>
                <c:pt idx="188">
                  <c:v>29.8</c:v>
                </c:pt>
                <c:pt idx="189">
                  <c:v>34.9</c:v>
                </c:pt>
                <c:pt idx="190">
                  <c:v>37</c:v>
                </c:pt>
                <c:pt idx="191">
                  <c:v>30.5</c:v>
                </c:pt>
                <c:pt idx="192">
                  <c:v>36.4</c:v>
                </c:pt>
                <c:pt idx="193">
                  <c:v>31.1</c:v>
                </c:pt>
                <c:pt idx="194">
                  <c:v>29.1</c:v>
                </c:pt>
                <c:pt idx="195">
                  <c:v>50</c:v>
                </c:pt>
                <c:pt idx="196">
                  <c:v>33.299999999999997</c:v>
                </c:pt>
                <c:pt idx="197">
                  <c:v>30.3</c:v>
                </c:pt>
                <c:pt idx="198">
                  <c:v>34.6</c:v>
                </c:pt>
                <c:pt idx="199">
                  <c:v>34.9</c:v>
                </c:pt>
                <c:pt idx="200">
                  <c:v>32.9</c:v>
                </c:pt>
                <c:pt idx="201">
                  <c:v>24.1</c:v>
                </c:pt>
                <c:pt idx="202">
                  <c:v>42.3</c:v>
                </c:pt>
                <c:pt idx="203">
                  <c:v>48.5</c:v>
                </c:pt>
                <c:pt idx="204">
                  <c:v>50</c:v>
                </c:pt>
                <c:pt idx="205">
                  <c:v>22.6</c:v>
                </c:pt>
                <c:pt idx="206">
                  <c:v>24.4</c:v>
                </c:pt>
                <c:pt idx="207">
                  <c:v>22.5</c:v>
                </c:pt>
                <c:pt idx="208">
                  <c:v>24.4</c:v>
                </c:pt>
                <c:pt idx="209">
                  <c:v>20</c:v>
                </c:pt>
                <c:pt idx="210">
                  <c:v>21.7</c:v>
                </c:pt>
                <c:pt idx="211">
                  <c:v>19.3</c:v>
                </c:pt>
                <c:pt idx="212">
                  <c:v>22.4</c:v>
                </c:pt>
                <c:pt idx="213">
                  <c:v>28.1</c:v>
                </c:pt>
                <c:pt idx="214">
                  <c:v>23.7</c:v>
                </c:pt>
                <c:pt idx="215">
                  <c:v>25</c:v>
                </c:pt>
                <c:pt idx="216">
                  <c:v>23.3</c:v>
                </c:pt>
                <c:pt idx="217">
                  <c:v>28.7</c:v>
                </c:pt>
                <c:pt idx="218">
                  <c:v>21.5</c:v>
                </c:pt>
                <c:pt idx="219">
                  <c:v>23</c:v>
                </c:pt>
                <c:pt idx="220">
                  <c:v>26.7</c:v>
                </c:pt>
                <c:pt idx="221">
                  <c:v>21.7</c:v>
                </c:pt>
                <c:pt idx="222">
                  <c:v>27.5</c:v>
                </c:pt>
                <c:pt idx="223">
                  <c:v>30.1</c:v>
                </c:pt>
                <c:pt idx="224">
                  <c:v>44.8</c:v>
                </c:pt>
                <c:pt idx="225">
                  <c:v>50</c:v>
                </c:pt>
                <c:pt idx="226">
                  <c:v>37.6</c:v>
                </c:pt>
                <c:pt idx="227">
                  <c:v>31.6</c:v>
                </c:pt>
                <c:pt idx="228">
                  <c:v>46.7</c:v>
                </c:pt>
                <c:pt idx="229">
                  <c:v>31.5</c:v>
                </c:pt>
                <c:pt idx="230">
                  <c:v>24.3</c:v>
                </c:pt>
                <c:pt idx="231">
                  <c:v>31.7</c:v>
                </c:pt>
                <c:pt idx="232">
                  <c:v>41.7</c:v>
                </c:pt>
                <c:pt idx="233">
                  <c:v>48.3</c:v>
                </c:pt>
                <c:pt idx="234">
                  <c:v>29</c:v>
                </c:pt>
                <c:pt idx="235">
                  <c:v>24</c:v>
                </c:pt>
                <c:pt idx="236">
                  <c:v>25.1</c:v>
                </c:pt>
                <c:pt idx="237">
                  <c:v>31.5</c:v>
                </c:pt>
                <c:pt idx="238">
                  <c:v>23.7</c:v>
                </c:pt>
                <c:pt idx="239">
                  <c:v>23.3</c:v>
                </c:pt>
                <c:pt idx="240">
                  <c:v>22</c:v>
                </c:pt>
                <c:pt idx="241">
                  <c:v>20.100000000000001</c:v>
                </c:pt>
                <c:pt idx="242">
                  <c:v>22.2</c:v>
                </c:pt>
                <c:pt idx="243">
                  <c:v>23.7</c:v>
                </c:pt>
                <c:pt idx="244">
                  <c:v>17.600000000000001</c:v>
                </c:pt>
                <c:pt idx="245">
                  <c:v>18.5</c:v>
                </c:pt>
                <c:pt idx="246">
                  <c:v>24.3</c:v>
                </c:pt>
                <c:pt idx="247">
                  <c:v>20.5</c:v>
                </c:pt>
                <c:pt idx="248">
                  <c:v>24.5</c:v>
                </c:pt>
                <c:pt idx="249">
                  <c:v>26.2</c:v>
                </c:pt>
                <c:pt idx="250">
                  <c:v>24.4</c:v>
                </c:pt>
                <c:pt idx="251">
                  <c:v>24.8</c:v>
                </c:pt>
                <c:pt idx="252">
                  <c:v>29.6</c:v>
                </c:pt>
                <c:pt idx="253">
                  <c:v>42.8</c:v>
                </c:pt>
                <c:pt idx="254">
                  <c:v>21.9</c:v>
                </c:pt>
                <c:pt idx="255">
                  <c:v>20.9</c:v>
                </c:pt>
                <c:pt idx="256">
                  <c:v>44</c:v>
                </c:pt>
                <c:pt idx="257">
                  <c:v>50</c:v>
                </c:pt>
                <c:pt idx="258">
                  <c:v>36</c:v>
                </c:pt>
                <c:pt idx="259">
                  <c:v>30.1</c:v>
                </c:pt>
                <c:pt idx="260">
                  <c:v>33.799999999999997</c:v>
                </c:pt>
                <c:pt idx="261">
                  <c:v>43.1</c:v>
                </c:pt>
                <c:pt idx="262">
                  <c:v>48.8</c:v>
                </c:pt>
                <c:pt idx="263">
                  <c:v>31</c:v>
                </c:pt>
                <c:pt idx="264">
                  <c:v>36.5</c:v>
                </c:pt>
                <c:pt idx="265">
                  <c:v>22.8</c:v>
                </c:pt>
                <c:pt idx="266">
                  <c:v>30.7</c:v>
                </c:pt>
                <c:pt idx="267">
                  <c:v>50</c:v>
                </c:pt>
                <c:pt idx="268">
                  <c:v>43.5</c:v>
                </c:pt>
                <c:pt idx="269">
                  <c:v>20.7</c:v>
                </c:pt>
                <c:pt idx="270">
                  <c:v>21.1</c:v>
                </c:pt>
                <c:pt idx="271">
                  <c:v>25.2</c:v>
                </c:pt>
                <c:pt idx="272">
                  <c:v>24.4</c:v>
                </c:pt>
                <c:pt idx="273">
                  <c:v>35.200000000000003</c:v>
                </c:pt>
                <c:pt idx="274">
                  <c:v>32.4</c:v>
                </c:pt>
                <c:pt idx="275">
                  <c:v>32</c:v>
                </c:pt>
                <c:pt idx="276">
                  <c:v>33.200000000000003</c:v>
                </c:pt>
                <c:pt idx="277">
                  <c:v>33.1</c:v>
                </c:pt>
                <c:pt idx="278">
                  <c:v>29.1</c:v>
                </c:pt>
                <c:pt idx="279">
                  <c:v>35.1</c:v>
                </c:pt>
                <c:pt idx="280">
                  <c:v>45.4</c:v>
                </c:pt>
                <c:pt idx="281">
                  <c:v>35.4</c:v>
                </c:pt>
                <c:pt idx="282">
                  <c:v>46</c:v>
                </c:pt>
                <c:pt idx="283">
                  <c:v>50</c:v>
                </c:pt>
                <c:pt idx="284">
                  <c:v>32.200000000000003</c:v>
                </c:pt>
                <c:pt idx="285">
                  <c:v>22</c:v>
                </c:pt>
                <c:pt idx="286">
                  <c:v>20.100000000000001</c:v>
                </c:pt>
                <c:pt idx="287">
                  <c:v>23.2</c:v>
                </c:pt>
                <c:pt idx="288">
                  <c:v>22.3</c:v>
                </c:pt>
                <c:pt idx="289">
                  <c:v>24.8</c:v>
                </c:pt>
                <c:pt idx="290">
                  <c:v>28.5</c:v>
                </c:pt>
                <c:pt idx="291">
                  <c:v>37.299999999999997</c:v>
                </c:pt>
                <c:pt idx="292">
                  <c:v>27.9</c:v>
                </c:pt>
                <c:pt idx="293">
                  <c:v>23.9</c:v>
                </c:pt>
                <c:pt idx="294">
                  <c:v>21.7</c:v>
                </c:pt>
                <c:pt idx="295">
                  <c:v>28.6</c:v>
                </c:pt>
                <c:pt idx="296">
                  <c:v>27.1</c:v>
                </c:pt>
                <c:pt idx="297">
                  <c:v>20.3</c:v>
                </c:pt>
                <c:pt idx="298">
                  <c:v>22.5</c:v>
                </c:pt>
                <c:pt idx="299">
                  <c:v>29</c:v>
                </c:pt>
                <c:pt idx="300">
                  <c:v>24.8</c:v>
                </c:pt>
                <c:pt idx="301">
                  <c:v>22</c:v>
                </c:pt>
                <c:pt idx="302">
                  <c:v>26.4</c:v>
                </c:pt>
                <c:pt idx="303">
                  <c:v>33.1</c:v>
                </c:pt>
                <c:pt idx="304">
                  <c:v>36.1</c:v>
                </c:pt>
                <c:pt idx="305">
                  <c:v>28.4</c:v>
                </c:pt>
                <c:pt idx="306">
                  <c:v>33.4</c:v>
                </c:pt>
                <c:pt idx="307">
                  <c:v>28.2</c:v>
                </c:pt>
                <c:pt idx="308">
                  <c:v>22.8</c:v>
                </c:pt>
                <c:pt idx="309">
                  <c:v>20.3</c:v>
                </c:pt>
                <c:pt idx="310">
                  <c:v>16.100000000000001</c:v>
                </c:pt>
                <c:pt idx="311">
                  <c:v>22.1</c:v>
                </c:pt>
                <c:pt idx="312">
                  <c:v>19.399999999999999</c:v>
                </c:pt>
                <c:pt idx="313">
                  <c:v>21.6</c:v>
                </c:pt>
                <c:pt idx="314">
                  <c:v>23.8</c:v>
                </c:pt>
                <c:pt idx="315">
                  <c:v>16.2</c:v>
                </c:pt>
                <c:pt idx="316">
                  <c:v>17.8</c:v>
                </c:pt>
                <c:pt idx="317">
                  <c:v>19.8</c:v>
                </c:pt>
                <c:pt idx="318">
                  <c:v>23.1</c:v>
                </c:pt>
                <c:pt idx="319">
                  <c:v>21</c:v>
                </c:pt>
                <c:pt idx="320">
                  <c:v>23.8</c:v>
                </c:pt>
                <c:pt idx="321">
                  <c:v>23.1</c:v>
                </c:pt>
                <c:pt idx="322">
                  <c:v>20.399999999999999</c:v>
                </c:pt>
                <c:pt idx="323">
                  <c:v>18.5</c:v>
                </c:pt>
                <c:pt idx="324">
                  <c:v>25</c:v>
                </c:pt>
                <c:pt idx="325">
                  <c:v>24.6</c:v>
                </c:pt>
                <c:pt idx="326">
                  <c:v>23</c:v>
                </c:pt>
                <c:pt idx="327">
                  <c:v>22.2</c:v>
                </c:pt>
                <c:pt idx="328">
                  <c:v>19.3</c:v>
                </c:pt>
                <c:pt idx="329">
                  <c:v>22.6</c:v>
                </c:pt>
                <c:pt idx="330">
                  <c:v>19.8</c:v>
                </c:pt>
                <c:pt idx="331">
                  <c:v>17.100000000000001</c:v>
                </c:pt>
                <c:pt idx="332">
                  <c:v>19.399999999999999</c:v>
                </c:pt>
                <c:pt idx="333">
                  <c:v>22.2</c:v>
                </c:pt>
                <c:pt idx="334">
                  <c:v>20.7</c:v>
                </c:pt>
                <c:pt idx="335">
                  <c:v>21.1</c:v>
                </c:pt>
                <c:pt idx="336">
                  <c:v>19.5</c:v>
                </c:pt>
                <c:pt idx="337">
                  <c:v>18.5</c:v>
                </c:pt>
                <c:pt idx="338">
                  <c:v>20.6</c:v>
                </c:pt>
                <c:pt idx="339">
                  <c:v>19</c:v>
                </c:pt>
                <c:pt idx="340">
                  <c:v>18.7</c:v>
                </c:pt>
                <c:pt idx="341">
                  <c:v>32.700000000000003</c:v>
                </c:pt>
                <c:pt idx="342">
                  <c:v>16.5</c:v>
                </c:pt>
                <c:pt idx="343">
                  <c:v>23.9</c:v>
                </c:pt>
                <c:pt idx="344">
                  <c:v>31.2</c:v>
                </c:pt>
                <c:pt idx="345">
                  <c:v>17.5</c:v>
                </c:pt>
                <c:pt idx="346">
                  <c:v>17.2</c:v>
                </c:pt>
                <c:pt idx="347">
                  <c:v>23.1</c:v>
                </c:pt>
                <c:pt idx="348">
                  <c:v>24.5</c:v>
                </c:pt>
                <c:pt idx="349">
                  <c:v>26.6</c:v>
                </c:pt>
                <c:pt idx="350">
                  <c:v>22.9</c:v>
                </c:pt>
                <c:pt idx="351">
                  <c:v>24.1</c:v>
                </c:pt>
                <c:pt idx="352">
                  <c:v>18.600000000000001</c:v>
                </c:pt>
                <c:pt idx="353">
                  <c:v>30.1</c:v>
                </c:pt>
                <c:pt idx="354">
                  <c:v>18.2</c:v>
                </c:pt>
                <c:pt idx="355">
                  <c:v>20.6</c:v>
                </c:pt>
                <c:pt idx="356">
                  <c:v>17.8</c:v>
                </c:pt>
                <c:pt idx="357">
                  <c:v>21.7</c:v>
                </c:pt>
                <c:pt idx="358">
                  <c:v>22.7</c:v>
                </c:pt>
                <c:pt idx="359">
                  <c:v>22.6</c:v>
                </c:pt>
                <c:pt idx="360">
                  <c:v>25</c:v>
                </c:pt>
                <c:pt idx="361">
                  <c:v>19.899999999999999</c:v>
                </c:pt>
                <c:pt idx="362">
                  <c:v>20.8</c:v>
                </c:pt>
                <c:pt idx="363">
                  <c:v>16.8</c:v>
                </c:pt>
                <c:pt idx="364">
                  <c:v>21.9</c:v>
                </c:pt>
                <c:pt idx="365">
                  <c:v>27.5</c:v>
                </c:pt>
                <c:pt idx="366">
                  <c:v>21.9</c:v>
                </c:pt>
                <c:pt idx="367">
                  <c:v>23.1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13.8</c:v>
                </c:pt>
                <c:pt idx="374">
                  <c:v>13.8</c:v>
                </c:pt>
                <c:pt idx="375">
                  <c:v>15</c:v>
                </c:pt>
                <c:pt idx="376">
                  <c:v>13.9</c:v>
                </c:pt>
                <c:pt idx="377">
                  <c:v>13.3</c:v>
                </c:pt>
                <c:pt idx="378">
                  <c:v>13.1</c:v>
                </c:pt>
                <c:pt idx="379">
                  <c:v>10.199999999999999</c:v>
                </c:pt>
                <c:pt idx="380">
                  <c:v>10.4</c:v>
                </c:pt>
                <c:pt idx="381">
                  <c:v>10.9</c:v>
                </c:pt>
                <c:pt idx="382">
                  <c:v>11.3</c:v>
                </c:pt>
                <c:pt idx="383">
                  <c:v>12.3</c:v>
                </c:pt>
                <c:pt idx="384">
                  <c:v>8.8000000000000007</c:v>
                </c:pt>
                <c:pt idx="385">
                  <c:v>7.2</c:v>
                </c:pt>
                <c:pt idx="386">
                  <c:v>10.5</c:v>
                </c:pt>
                <c:pt idx="387">
                  <c:v>7.4</c:v>
                </c:pt>
                <c:pt idx="388">
                  <c:v>10.199999999999999</c:v>
                </c:pt>
                <c:pt idx="389">
                  <c:v>11.5</c:v>
                </c:pt>
                <c:pt idx="390">
                  <c:v>15.1</c:v>
                </c:pt>
                <c:pt idx="391">
                  <c:v>23.2</c:v>
                </c:pt>
                <c:pt idx="392">
                  <c:v>9.6999999999999993</c:v>
                </c:pt>
                <c:pt idx="393">
                  <c:v>13.8</c:v>
                </c:pt>
                <c:pt idx="394">
                  <c:v>12.7</c:v>
                </c:pt>
                <c:pt idx="395">
                  <c:v>13.1</c:v>
                </c:pt>
                <c:pt idx="396">
                  <c:v>12.5</c:v>
                </c:pt>
                <c:pt idx="397">
                  <c:v>8.5</c:v>
                </c:pt>
                <c:pt idx="398">
                  <c:v>5</c:v>
                </c:pt>
                <c:pt idx="399">
                  <c:v>6.3</c:v>
                </c:pt>
                <c:pt idx="400">
                  <c:v>5.6</c:v>
                </c:pt>
                <c:pt idx="401">
                  <c:v>7.2</c:v>
                </c:pt>
                <c:pt idx="402">
                  <c:v>12.1</c:v>
                </c:pt>
                <c:pt idx="403">
                  <c:v>8.3000000000000007</c:v>
                </c:pt>
                <c:pt idx="404">
                  <c:v>8.5</c:v>
                </c:pt>
                <c:pt idx="405">
                  <c:v>5</c:v>
                </c:pt>
                <c:pt idx="406">
                  <c:v>11.9</c:v>
                </c:pt>
                <c:pt idx="407">
                  <c:v>27.9</c:v>
                </c:pt>
                <c:pt idx="408">
                  <c:v>17.2</c:v>
                </c:pt>
                <c:pt idx="409">
                  <c:v>27.5</c:v>
                </c:pt>
                <c:pt idx="410">
                  <c:v>15</c:v>
                </c:pt>
                <c:pt idx="411">
                  <c:v>17.2</c:v>
                </c:pt>
                <c:pt idx="412">
                  <c:v>17.899999999999999</c:v>
                </c:pt>
                <c:pt idx="413">
                  <c:v>16.3</c:v>
                </c:pt>
                <c:pt idx="414">
                  <c:v>7</c:v>
                </c:pt>
                <c:pt idx="415">
                  <c:v>7.2</c:v>
                </c:pt>
                <c:pt idx="416">
                  <c:v>7.5</c:v>
                </c:pt>
                <c:pt idx="417">
                  <c:v>10.4</c:v>
                </c:pt>
                <c:pt idx="418">
                  <c:v>8.8000000000000007</c:v>
                </c:pt>
                <c:pt idx="419">
                  <c:v>8.4</c:v>
                </c:pt>
                <c:pt idx="420">
                  <c:v>16.7</c:v>
                </c:pt>
                <c:pt idx="421">
                  <c:v>14.2</c:v>
                </c:pt>
                <c:pt idx="422">
                  <c:v>20.8</c:v>
                </c:pt>
                <c:pt idx="423">
                  <c:v>13.4</c:v>
                </c:pt>
                <c:pt idx="424">
                  <c:v>11.7</c:v>
                </c:pt>
                <c:pt idx="425">
                  <c:v>8.3000000000000007</c:v>
                </c:pt>
                <c:pt idx="426">
                  <c:v>10.199999999999999</c:v>
                </c:pt>
                <c:pt idx="427">
                  <c:v>10.9</c:v>
                </c:pt>
                <c:pt idx="428">
                  <c:v>11</c:v>
                </c:pt>
                <c:pt idx="429">
                  <c:v>9.5</c:v>
                </c:pt>
                <c:pt idx="430">
                  <c:v>14.5</c:v>
                </c:pt>
                <c:pt idx="431">
                  <c:v>14.1</c:v>
                </c:pt>
                <c:pt idx="432">
                  <c:v>16.100000000000001</c:v>
                </c:pt>
                <c:pt idx="433">
                  <c:v>14.3</c:v>
                </c:pt>
                <c:pt idx="434">
                  <c:v>11.7</c:v>
                </c:pt>
                <c:pt idx="435">
                  <c:v>13.4</c:v>
                </c:pt>
                <c:pt idx="436">
                  <c:v>9.6</c:v>
                </c:pt>
                <c:pt idx="437">
                  <c:v>8.6999999999999993</c:v>
                </c:pt>
                <c:pt idx="438">
                  <c:v>8.4</c:v>
                </c:pt>
                <c:pt idx="439">
                  <c:v>12.8</c:v>
                </c:pt>
                <c:pt idx="440">
                  <c:v>10.5</c:v>
                </c:pt>
                <c:pt idx="441">
                  <c:v>17.100000000000001</c:v>
                </c:pt>
                <c:pt idx="442">
                  <c:v>18.399999999999999</c:v>
                </c:pt>
                <c:pt idx="443">
                  <c:v>15.4</c:v>
                </c:pt>
                <c:pt idx="444">
                  <c:v>10.8</c:v>
                </c:pt>
                <c:pt idx="445">
                  <c:v>11.8</c:v>
                </c:pt>
                <c:pt idx="446">
                  <c:v>14.9</c:v>
                </c:pt>
                <c:pt idx="447">
                  <c:v>12.6</c:v>
                </c:pt>
                <c:pt idx="448">
                  <c:v>14.1</c:v>
                </c:pt>
                <c:pt idx="449">
                  <c:v>13</c:v>
                </c:pt>
                <c:pt idx="450">
                  <c:v>13.4</c:v>
                </c:pt>
                <c:pt idx="451">
                  <c:v>15.2</c:v>
                </c:pt>
                <c:pt idx="452">
                  <c:v>16.100000000000001</c:v>
                </c:pt>
                <c:pt idx="453">
                  <c:v>17.8</c:v>
                </c:pt>
                <c:pt idx="454">
                  <c:v>14.9</c:v>
                </c:pt>
                <c:pt idx="455">
                  <c:v>14.1</c:v>
                </c:pt>
                <c:pt idx="456">
                  <c:v>12.7</c:v>
                </c:pt>
                <c:pt idx="457">
                  <c:v>13.5</c:v>
                </c:pt>
                <c:pt idx="458">
                  <c:v>14.9</c:v>
                </c:pt>
                <c:pt idx="459">
                  <c:v>20</c:v>
                </c:pt>
                <c:pt idx="460">
                  <c:v>16.399999999999999</c:v>
                </c:pt>
                <c:pt idx="461">
                  <c:v>17.7</c:v>
                </c:pt>
                <c:pt idx="462">
                  <c:v>19.5</c:v>
                </c:pt>
                <c:pt idx="463">
                  <c:v>20.2</c:v>
                </c:pt>
                <c:pt idx="464">
                  <c:v>21.4</c:v>
                </c:pt>
                <c:pt idx="465">
                  <c:v>19.899999999999999</c:v>
                </c:pt>
                <c:pt idx="466">
                  <c:v>19</c:v>
                </c:pt>
                <c:pt idx="467">
                  <c:v>19.100000000000001</c:v>
                </c:pt>
                <c:pt idx="468">
                  <c:v>19.100000000000001</c:v>
                </c:pt>
                <c:pt idx="469">
                  <c:v>20.100000000000001</c:v>
                </c:pt>
                <c:pt idx="470">
                  <c:v>19.899999999999999</c:v>
                </c:pt>
                <c:pt idx="471">
                  <c:v>19.600000000000001</c:v>
                </c:pt>
                <c:pt idx="472">
                  <c:v>23.2</c:v>
                </c:pt>
                <c:pt idx="473">
                  <c:v>29.8</c:v>
                </c:pt>
                <c:pt idx="474">
                  <c:v>13.8</c:v>
                </c:pt>
                <c:pt idx="475">
                  <c:v>13.3</c:v>
                </c:pt>
                <c:pt idx="476">
                  <c:v>16.7</c:v>
                </c:pt>
                <c:pt idx="477">
                  <c:v>12</c:v>
                </c:pt>
                <c:pt idx="478">
                  <c:v>14.6</c:v>
                </c:pt>
                <c:pt idx="479">
                  <c:v>21.4</c:v>
                </c:pt>
                <c:pt idx="480">
                  <c:v>23</c:v>
                </c:pt>
                <c:pt idx="481">
                  <c:v>23.7</c:v>
                </c:pt>
                <c:pt idx="482">
                  <c:v>25</c:v>
                </c:pt>
                <c:pt idx="483">
                  <c:v>21.8</c:v>
                </c:pt>
                <c:pt idx="484">
                  <c:v>20.6</c:v>
                </c:pt>
                <c:pt idx="485">
                  <c:v>21.2</c:v>
                </c:pt>
                <c:pt idx="486">
                  <c:v>19.100000000000001</c:v>
                </c:pt>
                <c:pt idx="487">
                  <c:v>20.6</c:v>
                </c:pt>
                <c:pt idx="488">
                  <c:v>15.2</c:v>
                </c:pt>
                <c:pt idx="489">
                  <c:v>7</c:v>
                </c:pt>
                <c:pt idx="490">
                  <c:v>8.1</c:v>
                </c:pt>
                <c:pt idx="491">
                  <c:v>13.6</c:v>
                </c:pt>
                <c:pt idx="492">
                  <c:v>20.100000000000001</c:v>
                </c:pt>
                <c:pt idx="493">
                  <c:v>21.8</c:v>
                </c:pt>
                <c:pt idx="494">
                  <c:v>24.5</c:v>
                </c:pt>
                <c:pt idx="495">
                  <c:v>23.1</c:v>
                </c:pt>
                <c:pt idx="496">
                  <c:v>19.7</c:v>
                </c:pt>
                <c:pt idx="497">
                  <c:v>18.3</c:v>
                </c:pt>
                <c:pt idx="498">
                  <c:v>21.2</c:v>
                </c:pt>
                <c:pt idx="499">
                  <c:v>17.5</c:v>
                </c:pt>
                <c:pt idx="500">
                  <c:v>16.8</c:v>
                </c:pt>
                <c:pt idx="501">
                  <c:v>22.4</c:v>
                </c:pt>
                <c:pt idx="502">
                  <c:v>20.6</c:v>
                </c:pt>
                <c:pt idx="503">
                  <c:v>23.9</c:v>
                </c:pt>
                <c:pt idx="504">
                  <c:v>22</c:v>
                </c:pt>
                <c:pt idx="505">
                  <c:v>11.9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8-40E5-885B-BC892CA5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868512"/>
        <c:axId val="1411863232"/>
      </c:scatterChart>
      <c:valAx>
        <c:axId val="1411868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Crime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63232"/>
        <c:crosses val="autoZero"/>
        <c:crossBetween val="midCat"/>
      </c:valAx>
      <c:valAx>
        <c:axId val="141186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House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6851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Coefficients / Parameters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analysis!$W$37</c:f>
              <c:strCache>
                <c:ptCount val="1"/>
                <c:pt idx="0">
                  <c:v>Coefficients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analysis!$V$39:$V$51</c:f>
              <c:strCache>
                <c:ptCount val="13"/>
                <c:pt idx="0">
                  <c:v>crim</c:v>
                </c:pt>
                <c:pt idx="1">
                  <c:v>zn</c:v>
                </c:pt>
                <c:pt idx="2">
                  <c:v>indus</c:v>
                </c:pt>
                <c:pt idx="3">
                  <c:v>chas</c:v>
                </c:pt>
                <c:pt idx="4">
                  <c:v>nox</c:v>
                </c:pt>
                <c:pt idx="5">
                  <c:v>rm</c:v>
                </c:pt>
                <c:pt idx="6">
                  <c:v>age</c:v>
                </c:pt>
                <c:pt idx="7">
                  <c:v>dis</c:v>
                </c:pt>
                <c:pt idx="8">
                  <c:v>rad</c:v>
                </c:pt>
                <c:pt idx="9">
                  <c:v>tax</c:v>
                </c:pt>
                <c:pt idx="10">
                  <c:v>ptratio</c:v>
                </c:pt>
                <c:pt idx="11">
                  <c:v>b</c:v>
                </c:pt>
                <c:pt idx="12">
                  <c:v>lstat</c:v>
                </c:pt>
              </c:strCache>
            </c:strRef>
          </c:cat>
          <c:val>
            <c:numRef>
              <c:f>analysis!$W$39:$W$51</c:f>
              <c:numCache>
                <c:formatCode>0.0</c:formatCode>
                <c:ptCount val="13"/>
                <c:pt idx="0">
                  <c:v>-0.10801135783679687</c:v>
                </c:pt>
                <c:pt idx="1">
                  <c:v>4.6420458366881238E-2</c:v>
                </c:pt>
                <c:pt idx="2">
                  <c:v>2.0558626367072032E-2</c:v>
                </c:pt>
                <c:pt idx="3">
                  <c:v>2.6867338193448873</c:v>
                </c:pt>
                <c:pt idx="4">
                  <c:v>-17.766611228300164</c:v>
                </c:pt>
                <c:pt idx="5">
                  <c:v>3.809865206809214</c:v>
                </c:pt>
                <c:pt idx="6">
                  <c:v>6.9222464034449636E-4</c:v>
                </c:pt>
                <c:pt idx="7">
                  <c:v>-1.4755668456002526</c:v>
                </c:pt>
                <c:pt idx="8">
                  <c:v>0.30604947898517504</c:v>
                </c:pt>
                <c:pt idx="9">
                  <c:v>-1.2334593916574578E-2</c:v>
                </c:pt>
                <c:pt idx="10">
                  <c:v>-0.95274723170729014</c:v>
                </c:pt>
                <c:pt idx="11">
                  <c:v>9.3116832737938516E-3</c:v>
                </c:pt>
                <c:pt idx="12">
                  <c:v>-0.52475837785548896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F-488A-8185-0B951C19B9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11864192"/>
        <c:axId val="1411863712"/>
      </c:barChart>
      <c:catAx>
        <c:axId val="14118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63712"/>
        <c:crosses val="autoZero"/>
        <c:auto val="1"/>
        <c:lblAlgn val="ctr"/>
        <c:lblOffset val="100"/>
        <c:noMultiLvlLbl val="0"/>
      </c:catAx>
      <c:valAx>
        <c:axId val="14118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analysis!$AJ$2</c:f>
              <c:strCache>
                <c:ptCount val="1"/>
                <c:pt idx="0">
                  <c:v>Medv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analysis!$AI$3:$AI$7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analysis!$AJ$3:$AJ$7</c:f>
              <c:numCache>
                <c:formatCode>General</c:formatCode>
                <c:ptCount val="5"/>
                <c:pt idx="0">
                  <c:v>40.269353591899204</c:v>
                </c:pt>
                <c:pt idx="1">
                  <c:v>44.079218798708418</c:v>
                </c:pt>
                <c:pt idx="2">
                  <c:v>47.889084005517631</c:v>
                </c:pt>
                <c:pt idx="3">
                  <c:v>51.698949212326845</c:v>
                </c:pt>
                <c:pt idx="4">
                  <c:v>55.508814419136058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6-4AC1-B810-1D466966C46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661840"/>
        <c:axId val="541659440"/>
      </c:lineChart>
      <c:catAx>
        <c:axId val="54166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Nr. 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59440"/>
        <c:crosses val="autoZero"/>
        <c:auto val="1"/>
        <c:lblAlgn val="ctr"/>
        <c:lblOffset val="100"/>
        <c:noMultiLvlLbl val="0"/>
      </c:catAx>
      <c:valAx>
        <c:axId val="54165944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House Price (medv)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6184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House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House Price</a:t>
          </a:r>
        </a:p>
      </cx:txPr>
    </cx:title>
    <cx:plotArea>
      <cx:plotAreaRegion>
        <cx:series layoutId="clusteredColumn" uniqueId="{61881ECD-2ACF-4BED-902E-E74315237804}">
          <cx:tx>
            <cx:txData>
              <cx:f>_xlchart.v1.0</cx:f>
              <cx:v>medv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1</xdr:row>
      <xdr:rowOff>53340</xdr:rowOff>
    </xdr:from>
    <xdr:to>
      <xdr:col>24</xdr:col>
      <xdr:colOff>434889</xdr:colOff>
      <xdr:row>18</xdr:row>
      <xdr:rowOff>167919</xdr:rowOff>
    </xdr:to>
    <xdr:pic>
      <xdr:nvPicPr>
        <xdr:cNvPr id="2" name="Picture 1" descr="A white text on a white background&#10;&#10;Description automatically generated">
          <a:extLst>
            <a:ext uri="{FF2B5EF4-FFF2-40B4-BE49-F238E27FC236}">
              <a16:creationId xmlns:a16="http://schemas.microsoft.com/office/drawing/2014/main" id="{DAF192FC-47E6-ABA1-73EB-6877002B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236220"/>
          <a:ext cx="6340389" cy="3223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224790</xdr:colOff>
      <xdr:row>1</xdr:row>
      <xdr:rowOff>34290</xdr:rowOff>
    </xdr:from>
    <xdr:to>
      <xdr:col>15</xdr:col>
      <xdr:colOff>552450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DAAB8-5019-45D2-82B1-855B6F82B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859155</xdr:colOff>
      <xdr:row>1</xdr:row>
      <xdr:rowOff>135255</xdr:rowOff>
    </xdr:from>
    <xdr:to>
      <xdr:col>8</xdr:col>
      <xdr:colOff>240030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4F0F0-56EC-4D06-8F80-864EBC2B0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</xdr:colOff>
      <xdr:row>3</xdr:row>
      <xdr:rowOff>30480</xdr:rowOff>
    </xdr:from>
    <xdr:to>
      <xdr:col>25</xdr:col>
      <xdr:colOff>364615</xdr:colOff>
      <xdr:row>10</xdr:row>
      <xdr:rowOff>21272</xdr:rowOff>
    </xdr:to>
    <xdr:pic>
      <xdr:nvPicPr>
        <xdr:cNvPr id="2" name="Picture 1" descr="IPM Insights metrics include MAPE (Mean Absolute Percentage Error)">
          <a:extLst>
            <a:ext uri="{FF2B5EF4-FFF2-40B4-BE49-F238E27FC236}">
              <a16:creationId xmlns:a16="http://schemas.microsoft.com/office/drawing/2014/main" id="{01DB7187-BA3E-4150-837F-B4D44E6A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3305" y="582930"/>
          <a:ext cx="5969125" cy="126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219075</xdr:colOff>
      <xdr:row>11</xdr:row>
      <xdr:rowOff>28575</xdr:rowOff>
    </xdr:from>
    <xdr:to>
      <xdr:col>22</xdr:col>
      <xdr:colOff>265587</xdr:colOff>
      <xdr:row>18</xdr:row>
      <xdr:rowOff>19750</xdr:rowOff>
    </xdr:to>
    <xdr:pic>
      <xdr:nvPicPr>
        <xdr:cNvPr id="3" name="Picture 2" descr="A black and white math equation&#10;&#10;Description automatically generated">
          <a:extLst>
            <a:ext uri="{FF2B5EF4-FFF2-40B4-BE49-F238E27FC236}">
              <a16:creationId xmlns:a16="http://schemas.microsoft.com/office/drawing/2014/main" id="{EAF7A2E2-7C0E-4018-AD73-A6A9F57F7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01425" y="2028825"/>
          <a:ext cx="3056412" cy="1265620"/>
        </a:xfrm>
        <a:prstGeom prst="rect">
          <a:avLst/>
        </a:prstGeom>
      </xdr:spPr>
    </xdr:pic>
    <xdr:clientData/>
  </xdr:twoCellAnchor>
  <xdr:twoCellAnchor>
    <xdr:from>
      <xdr:col>16</xdr:col>
      <xdr:colOff>353377</xdr:colOff>
      <xdr:row>17</xdr:row>
      <xdr:rowOff>60007</xdr:rowOff>
    </xdr:from>
    <xdr:to>
      <xdr:col>23</xdr:col>
      <xdr:colOff>588645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F8DAB3-5B93-312A-7C3B-75EADD72E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267918</xdr:colOff>
      <xdr:row>15</xdr:row>
      <xdr:rowOff>69533</xdr:rowOff>
    </xdr:from>
    <xdr:to>
      <xdr:col>33</xdr:col>
      <xdr:colOff>286438</xdr:colOff>
      <xdr:row>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EB96CC1-AE2B-487E-8919-411CEDFFF7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27243" y="2793683"/>
              <a:ext cx="4285720" cy="2664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62865</xdr:colOff>
      <xdr:row>9</xdr:row>
      <xdr:rowOff>12382</xdr:rowOff>
    </xdr:from>
    <xdr:to>
      <xdr:col>19</xdr:col>
      <xdr:colOff>163830</xdr:colOff>
      <xdr:row>24</xdr:row>
      <xdr:rowOff>29527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4B14B1-6A82-DEE0-B419-1572D5932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Q510" totalsRowShown="0">
  <autoFilter ref="A4:Q5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crim"/>
    <tableColumn id="2" xr3:uid="{00000000-0010-0000-0000-000002000000}" name="zn"/>
    <tableColumn id="3" xr3:uid="{00000000-0010-0000-0000-000003000000}" name="indus"/>
    <tableColumn id="4" xr3:uid="{00000000-0010-0000-0000-000004000000}" name="chas"/>
    <tableColumn id="5" xr3:uid="{00000000-0010-0000-0000-000005000000}" name="nox"/>
    <tableColumn id="6" xr3:uid="{00000000-0010-0000-0000-000006000000}" name="rm"/>
    <tableColumn id="7" xr3:uid="{00000000-0010-0000-0000-000007000000}" name="age"/>
    <tableColumn id="8" xr3:uid="{00000000-0010-0000-0000-000008000000}" name="dis"/>
    <tableColumn id="9" xr3:uid="{00000000-0010-0000-0000-000009000000}" name="rad"/>
    <tableColumn id="10" xr3:uid="{00000000-0010-0000-0000-00000A000000}" name="tax"/>
    <tableColumn id="11" xr3:uid="{00000000-0010-0000-0000-00000B000000}" name="ptratio"/>
    <tableColumn id="12" xr3:uid="{00000000-0010-0000-0000-00000C000000}" name="b"/>
    <tableColumn id="13" xr3:uid="{00000000-0010-0000-0000-00000D000000}" name="lstat"/>
    <tableColumn id="14" xr3:uid="{00000000-0010-0000-0000-00000E000000}" name="medv"/>
    <tableColumn id="15" xr3:uid="{00000000-0010-0000-0000-00000F000000}" name="pred_medv" dataDxfId="2">
      <calculatedColumnFormula>A$2+SUMPRODUCT(B$2:N$2, A5:M5)</calculatedColumnFormula>
    </tableColumn>
    <tableColumn id="16" xr3:uid="{00000000-0010-0000-0000-000010000000}" name="residuals" dataDxfId="1">
      <calculatedColumnFormula>Table1[[#This Row],[medv]]-Table1[[#This Row],[pred_medv]]</calculatedColumnFormula>
    </tableColumn>
    <tableColumn id="17" xr3:uid="{00000000-0010-0000-0000-000011000000}" name="mape" dataDxfId="0">
      <calculatedColumnFormula>IF(Table1[[#This Row],[medv]]=0, "Undefined", ABS((N5-O5)/N5))*100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opLeftCell="A471" zoomScale="110" zoomScaleNormal="110" workbookViewId="0">
      <selection activeCell="E10" sqref="E10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8:AB49"/>
  <sheetViews>
    <sheetView topLeftCell="A17" workbookViewId="0">
      <selection activeCell="J47" sqref="J47"/>
    </sheetView>
  </sheetViews>
  <sheetFormatPr defaultRowHeight="14.4" x14ac:dyDescent="0.3"/>
  <cols>
    <col min="2" max="8" width="12.6640625" bestFit="1" customWidth="1"/>
    <col min="10" max="10" width="12.6640625" bestFit="1" customWidth="1"/>
  </cols>
  <sheetData>
    <row r="18" spans="1:18" ht="15" thickBot="1" x14ac:dyDescent="0.35"/>
    <row r="19" spans="1:18" x14ac:dyDescent="0.3">
      <c r="A19" s="4"/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  <c r="O19" s="4" t="s">
        <v>13</v>
      </c>
      <c r="R19" s="9" t="s">
        <v>33</v>
      </c>
    </row>
    <row r="20" spans="1:18" x14ac:dyDescent="0.3">
      <c r="A20" t="s">
        <v>0</v>
      </c>
      <c r="B20" s="7">
        <v>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R20" t="s">
        <v>34</v>
      </c>
    </row>
    <row r="21" spans="1:18" x14ac:dyDescent="0.3">
      <c r="A21" t="s">
        <v>1</v>
      </c>
      <c r="B21" s="7">
        <v>-0.20046921966254821</v>
      </c>
      <c r="C21" s="7">
        <v>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R21" t="s">
        <v>35</v>
      </c>
    </row>
    <row r="22" spans="1:18" x14ac:dyDescent="0.3">
      <c r="A22" t="s">
        <v>2</v>
      </c>
      <c r="B22" s="7">
        <v>0.40658341140625937</v>
      </c>
      <c r="C22" s="7">
        <v>-0.53382818630447471</v>
      </c>
      <c r="D22" s="7">
        <v>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8" x14ac:dyDescent="0.3">
      <c r="A23" t="s">
        <v>3</v>
      </c>
      <c r="B23" s="7">
        <v>-5.5891582222241228E-2</v>
      </c>
      <c r="C23" s="7">
        <v>-4.2696719296121205E-2</v>
      </c>
      <c r="D23" s="7">
        <v>6.2938027489665385E-2</v>
      </c>
      <c r="E23" s="7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8" x14ac:dyDescent="0.3">
      <c r="A24" t="s">
        <v>4</v>
      </c>
      <c r="B24" s="7">
        <v>0.42097171139245598</v>
      </c>
      <c r="C24" s="7">
        <v>-0.51660370782798526</v>
      </c>
      <c r="D24" s="7">
        <v>0.76365144692091447</v>
      </c>
      <c r="E24" s="7">
        <v>9.1202806842494044E-2</v>
      </c>
      <c r="F24" s="7">
        <v>1</v>
      </c>
      <c r="G24" s="7"/>
      <c r="H24" s="7"/>
      <c r="I24" s="7"/>
      <c r="J24" s="7"/>
      <c r="K24" s="7"/>
      <c r="L24" s="7"/>
      <c r="M24" s="7"/>
      <c r="N24" s="7"/>
      <c r="O24" s="7"/>
    </row>
    <row r="25" spans="1:18" x14ac:dyDescent="0.3">
      <c r="A25" t="s">
        <v>5</v>
      </c>
      <c r="B25" s="7">
        <v>-0.2192467028625138</v>
      </c>
      <c r="C25" s="7">
        <v>0.31199058737409197</v>
      </c>
      <c r="D25" s="7">
        <v>-0.39167585265684346</v>
      </c>
      <c r="E25" s="7">
        <v>9.1251225043455925E-2</v>
      </c>
      <c r="F25" s="7">
        <v>-0.30218818784959328</v>
      </c>
      <c r="G25" s="7">
        <v>1</v>
      </c>
      <c r="H25" s="7"/>
      <c r="I25" s="7"/>
      <c r="J25" s="7"/>
      <c r="K25" s="7"/>
      <c r="L25" s="7"/>
      <c r="M25" s="7"/>
      <c r="N25" s="7"/>
      <c r="O25" s="7"/>
    </row>
    <row r="26" spans="1:18" x14ac:dyDescent="0.3">
      <c r="A26" t="s">
        <v>6</v>
      </c>
      <c r="B26" s="7">
        <v>0.35273425090136346</v>
      </c>
      <c r="C26" s="7">
        <v>-0.56953734209921258</v>
      </c>
      <c r="D26" s="7">
        <v>0.64477851135525488</v>
      </c>
      <c r="E26" s="7">
        <v>8.6517774254542559E-2</v>
      </c>
      <c r="F26" s="7">
        <v>0.73147010378595789</v>
      </c>
      <c r="G26" s="7">
        <v>-0.24026493104775123</v>
      </c>
      <c r="H26" s="7">
        <v>1</v>
      </c>
      <c r="I26" s="7"/>
      <c r="J26" s="7"/>
      <c r="K26" s="7"/>
      <c r="L26" s="7"/>
      <c r="M26" s="7"/>
      <c r="N26" s="7"/>
      <c r="O26" s="7"/>
    </row>
    <row r="27" spans="1:18" x14ac:dyDescent="0.3">
      <c r="A27" t="s">
        <v>7</v>
      </c>
      <c r="B27" s="7">
        <v>-0.3796700869510245</v>
      </c>
      <c r="C27" s="7">
        <v>0.66440822276211309</v>
      </c>
      <c r="D27" s="7">
        <v>-0.70802698874276826</v>
      </c>
      <c r="E27" s="7">
        <v>-9.9175780174727043E-2</v>
      </c>
      <c r="F27" s="7">
        <v>-0.76923011322582613</v>
      </c>
      <c r="G27" s="7">
        <v>0.20524621293005513</v>
      </c>
      <c r="H27" s="7">
        <v>-0.74788054086863165</v>
      </c>
      <c r="I27" s="7">
        <v>1</v>
      </c>
      <c r="J27" s="7"/>
      <c r="K27" s="7"/>
      <c r="L27" s="7"/>
      <c r="M27" s="7"/>
      <c r="N27" s="7"/>
      <c r="O27" s="7"/>
    </row>
    <row r="28" spans="1:18" x14ac:dyDescent="0.3">
      <c r="A28" t="s">
        <v>8</v>
      </c>
      <c r="B28" s="7">
        <v>0.62550514526260126</v>
      </c>
      <c r="C28" s="7">
        <v>-0.31194782601853754</v>
      </c>
      <c r="D28" s="7">
        <v>0.59512927460384857</v>
      </c>
      <c r="E28" s="7">
        <v>-7.3682408860777232E-3</v>
      </c>
      <c r="F28" s="7">
        <v>0.61144056348557552</v>
      </c>
      <c r="G28" s="7">
        <v>-0.20984666776610875</v>
      </c>
      <c r="H28" s="7">
        <v>0.45602245175161338</v>
      </c>
      <c r="I28" s="7">
        <v>-0.49458792967207543</v>
      </c>
      <c r="J28" s="7">
        <v>1</v>
      </c>
      <c r="K28" s="7"/>
      <c r="L28" s="7"/>
      <c r="M28" s="7"/>
      <c r="N28" s="7"/>
      <c r="O28" s="7"/>
    </row>
    <row r="29" spans="1:18" x14ac:dyDescent="0.3">
      <c r="A29" t="s">
        <v>9</v>
      </c>
      <c r="B29" s="7">
        <v>0.5827643120325845</v>
      </c>
      <c r="C29" s="7">
        <v>-0.31456332467759884</v>
      </c>
      <c r="D29" s="7">
        <v>0.72076017995154407</v>
      </c>
      <c r="E29" s="7">
        <v>-3.5586517585911172E-2</v>
      </c>
      <c r="F29" s="7">
        <v>0.66802320040301999</v>
      </c>
      <c r="G29" s="7">
        <v>-0.29204783262321909</v>
      </c>
      <c r="H29" s="7">
        <v>0.50645559355070491</v>
      </c>
      <c r="I29" s="7">
        <v>-0.53443158440845606</v>
      </c>
      <c r="J29" s="7">
        <v>0.91022818853318221</v>
      </c>
      <c r="K29" s="7">
        <v>1</v>
      </c>
      <c r="L29" s="7"/>
      <c r="M29" s="7"/>
      <c r="N29" s="7"/>
      <c r="O29" s="7"/>
    </row>
    <row r="30" spans="1:18" x14ac:dyDescent="0.3">
      <c r="A30" t="s">
        <v>10</v>
      </c>
      <c r="B30" s="7">
        <v>0.28994557927951975</v>
      </c>
      <c r="C30" s="7">
        <v>-0.39167854793621421</v>
      </c>
      <c r="D30" s="7">
        <v>0.38324755642888669</v>
      </c>
      <c r="E30" s="7">
        <v>-0.12151517365806196</v>
      </c>
      <c r="F30" s="7">
        <v>0.18893267711276665</v>
      </c>
      <c r="G30" s="7">
        <v>-0.35550149455908486</v>
      </c>
      <c r="H30" s="7">
        <v>0.26151501167195718</v>
      </c>
      <c r="I30" s="7">
        <v>-0.23247054240825624</v>
      </c>
      <c r="J30" s="7">
        <v>0.4647411785030543</v>
      </c>
      <c r="K30" s="7">
        <v>0.46085303506566561</v>
      </c>
      <c r="L30" s="7">
        <v>1</v>
      </c>
      <c r="M30" s="7"/>
      <c r="N30" s="7"/>
      <c r="O30" s="7"/>
    </row>
    <row r="31" spans="1:18" x14ac:dyDescent="0.3">
      <c r="A31" t="s">
        <v>11</v>
      </c>
      <c r="B31" s="7">
        <v>-0.38506394199422439</v>
      </c>
      <c r="C31" s="7">
        <v>0.17552031738282847</v>
      </c>
      <c r="D31" s="7">
        <v>-0.35697653510419292</v>
      </c>
      <c r="E31" s="7">
        <v>4.878848495516621E-2</v>
      </c>
      <c r="F31" s="7">
        <v>-0.38005063779240028</v>
      </c>
      <c r="G31" s="7">
        <v>0.1280686350925431</v>
      </c>
      <c r="H31" s="7">
        <v>-0.27353397663851314</v>
      </c>
      <c r="I31" s="7">
        <v>0.29151167313304011</v>
      </c>
      <c r="J31" s="7">
        <v>-0.44441281557512585</v>
      </c>
      <c r="K31" s="7">
        <v>-0.44180800672281384</v>
      </c>
      <c r="L31" s="7">
        <v>-0.17738330230523142</v>
      </c>
      <c r="M31" s="7">
        <v>1</v>
      </c>
      <c r="N31" s="7"/>
      <c r="O31" s="7"/>
    </row>
    <row r="32" spans="1:18" x14ac:dyDescent="0.3">
      <c r="A32" t="s">
        <v>12</v>
      </c>
      <c r="B32" s="7">
        <v>0.45562147944794618</v>
      </c>
      <c r="C32" s="7">
        <v>-0.41299457452700444</v>
      </c>
      <c r="D32" s="7">
        <v>0.60379971647662123</v>
      </c>
      <c r="E32" s="7">
        <v>-5.3929298375694039E-2</v>
      </c>
      <c r="F32" s="7">
        <v>0.59087892088084493</v>
      </c>
      <c r="G32" s="7">
        <v>-0.61380827186639575</v>
      </c>
      <c r="H32" s="7">
        <v>0.60233852872623994</v>
      </c>
      <c r="I32" s="7">
        <v>-0.49699583086368515</v>
      </c>
      <c r="J32" s="7">
        <v>0.48867633497506641</v>
      </c>
      <c r="K32" s="7">
        <v>0.54399341200156903</v>
      </c>
      <c r="L32" s="7">
        <v>0.37404431671467536</v>
      </c>
      <c r="M32" s="7">
        <v>-0.36608690169159708</v>
      </c>
      <c r="N32" s="7">
        <v>1</v>
      </c>
      <c r="O32" s="7"/>
    </row>
    <row r="33" spans="1:28" ht="15" thickBot="1" x14ac:dyDescent="0.35">
      <c r="A33" s="3" t="s">
        <v>13</v>
      </c>
      <c r="B33" s="8">
        <v>-0.38830460858681137</v>
      </c>
      <c r="C33" s="8">
        <v>0.3604453424505446</v>
      </c>
      <c r="D33" s="8">
        <v>-0.48372516002837296</v>
      </c>
      <c r="E33" s="8">
        <v>0.17526017719029746</v>
      </c>
      <c r="F33" s="8">
        <v>-0.42732077237328164</v>
      </c>
      <c r="G33" s="8">
        <v>0.69535994707153892</v>
      </c>
      <c r="H33" s="8">
        <v>-0.3769545650045959</v>
      </c>
      <c r="I33" s="8">
        <v>0.24992873408590391</v>
      </c>
      <c r="J33" s="8">
        <v>-0.38162623063977752</v>
      </c>
      <c r="K33" s="8">
        <v>-0.46853593356776635</v>
      </c>
      <c r="L33" s="8">
        <v>-0.50778668553756101</v>
      </c>
      <c r="M33" s="8">
        <v>0.33346081965706648</v>
      </c>
      <c r="N33" s="8">
        <v>-0.7376627261740144</v>
      </c>
      <c r="O33" s="8">
        <v>1</v>
      </c>
    </row>
    <row r="34" spans="1:28" ht="15" thickBot="1" x14ac:dyDescent="0.35"/>
    <row r="35" spans="1:28" x14ac:dyDescent="0.3">
      <c r="A35" s="4" t="s">
        <v>0</v>
      </c>
      <c r="B35" s="4"/>
      <c r="C35" s="4" t="s">
        <v>1</v>
      </c>
      <c r="D35" s="4"/>
      <c r="E35" s="4" t="s">
        <v>2</v>
      </c>
      <c r="F35" s="4"/>
      <c r="G35" s="4" t="s">
        <v>3</v>
      </c>
      <c r="H35" s="4"/>
      <c r="I35" s="4" t="s">
        <v>4</v>
      </c>
      <c r="J35" s="4"/>
      <c r="K35" s="14" t="s">
        <v>5</v>
      </c>
      <c r="L35" s="4"/>
      <c r="M35" s="4" t="s">
        <v>6</v>
      </c>
      <c r="N35" s="4"/>
      <c r="O35" s="4" t="s">
        <v>7</v>
      </c>
      <c r="P35" s="4"/>
      <c r="Q35" s="4" t="s">
        <v>8</v>
      </c>
      <c r="R35" s="4"/>
      <c r="S35" s="4" t="s">
        <v>9</v>
      </c>
      <c r="T35" s="4"/>
      <c r="U35" s="4" t="s">
        <v>10</v>
      </c>
      <c r="V35" s="4"/>
      <c r="W35" s="4" t="s">
        <v>11</v>
      </c>
      <c r="X35" s="4"/>
      <c r="Y35" s="4" t="s">
        <v>12</v>
      </c>
      <c r="Z35" s="4"/>
      <c r="AA35" s="4" t="s">
        <v>13</v>
      </c>
      <c r="AB35" s="4"/>
    </row>
    <row r="37" spans="1:28" x14ac:dyDescent="0.3">
      <c r="A37" t="s">
        <v>67</v>
      </c>
      <c r="B37">
        <v>3.6135235573122535</v>
      </c>
      <c r="C37" t="s">
        <v>67</v>
      </c>
      <c r="D37">
        <v>11.363636363636363</v>
      </c>
      <c r="E37" t="s">
        <v>67</v>
      </c>
      <c r="F37">
        <v>11.136778656126504</v>
      </c>
      <c r="G37" t="s">
        <v>67</v>
      </c>
      <c r="H37">
        <v>6.9169960474308304E-2</v>
      </c>
      <c r="I37" t="s">
        <v>67</v>
      </c>
      <c r="J37">
        <v>0.55469505928853724</v>
      </c>
      <c r="K37" t="s">
        <v>67</v>
      </c>
      <c r="L37">
        <v>6.2846343873517867</v>
      </c>
      <c r="M37" t="s">
        <v>67</v>
      </c>
      <c r="N37">
        <v>68.574901185770784</v>
      </c>
      <c r="O37" t="s">
        <v>67</v>
      </c>
      <c r="P37">
        <v>3.795042687747034</v>
      </c>
      <c r="Q37" t="s">
        <v>67</v>
      </c>
      <c r="R37">
        <v>9.5494071146245059</v>
      </c>
      <c r="S37" t="s">
        <v>67</v>
      </c>
      <c r="T37">
        <v>408.23715415019763</v>
      </c>
      <c r="U37" t="s">
        <v>67</v>
      </c>
      <c r="V37">
        <v>18.455533596837967</v>
      </c>
      <c r="W37" t="s">
        <v>67</v>
      </c>
      <c r="X37">
        <v>356.67403162055257</v>
      </c>
      <c r="Y37" t="s">
        <v>67</v>
      </c>
      <c r="Z37">
        <v>12.653063241106723</v>
      </c>
      <c r="AA37" t="s">
        <v>67</v>
      </c>
      <c r="AB37">
        <v>22.532806324110698</v>
      </c>
    </row>
    <row r="38" spans="1:28" x14ac:dyDescent="0.3">
      <c r="A38" t="s">
        <v>41</v>
      </c>
      <c r="B38">
        <v>0.38238532135825437</v>
      </c>
      <c r="C38" t="s">
        <v>41</v>
      </c>
      <c r="D38">
        <v>1.0368095003817024</v>
      </c>
      <c r="E38" t="s">
        <v>41</v>
      </c>
      <c r="F38">
        <v>0.30497988812613019</v>
      </c>
      <c r="G38" t="s">
        <v>41</v>
      </c>
      <c r="H38">
        <v>1.1291412406920153E-2</v>
      </c>
      <c r="I38" t="s">
        <v>41</v>
      </c>
      <c r="J38">
        <v>5.1513910240283929E-3</v>
      </c>
      <c r="K38" t="s">
        <v>41</v>
      </c>
      <c r="L38">
        <v>3.1235141929339023E-2</v>
      </c>
      <c r="M38" t="s">
        <v>41</v>
      </c>
      <c r="N38">
        <v>1.2513695252583026</v>
      </c>
      <c r="O38" t="s">
        <v>41</v>
      </c>
      <c r="P38">
        <v>9.3610233231080128E-2</v>
      </c>
      <c r="Q38" t="s">
        <v>41</v>
      </c>
      <c r="R38">
        <v>0.38708489428578602</v>
      </c>
      <c r="S38" t="s">
        <v>41</v>
      </c>
      <c r="T38">
        <v>7.4923886922962053</v>
      </c>
      <c r="U38" t="s">
        <v>41</v>
      </c>
      <c r="V38">
        <v>9.6243567832414598E-2</v>
      </c>
      <c r="W38" t="s">
        <v>41</v>
      </c>
      <c r="X38">
        <v>4.0585517634794872</v>
      </c>
      <c r="Y38" t="s">
        <v>41</v>
      </c>
      <c r="Z38">
        <v>0.31745890621014489</v>
      </c>
      <c r="AA38" t="s">
        <v>41</v>
      </c>
      <c r="AB38">
        <v>0.40886114749753183</v>
      </c>
    </row>
    <row r="39" spans="1:28" x14ac:dyDescent="0.3">
      <c r="A39" t="s">
        <v>68</v>
      </c>
      <c r="B39">
        <v>0.25651000000000002</v>
      </c>
      <c r="C39" t="s">
        <v>68</v>
      </c>
      <c r="D39">
        <v>0</v>
      </c>
      <c r="E39" t="s">
        <v>68</v>
      </c>
      <c r="F39">
        <v>9.69</v>
      </c>
      <c r="G39" t="s">
        <v>68</v>
      </c>
      <c r="H39">
        <v>0</v>
      </c>
      <c r="I39" t="s">
        <v>68</v>
      </c>
      <c r="J39">
        <v>0.53800000000000003</v>
      </c>
      <c r="K39" t="s">
        <v>68</v>
      </c>
      <c r="L39">
        <v>6.2084999999999999</v>
      </c>
      <c r="M39" t="s">
        <v>68</v>
      </c>
      <c r="N39">
        <v>77.5</v>
      </c>
      <c r="O39" t="s">
        <v>68</v>
      </c>
      <c r="P39">
        <v>3.2074499999999997</v>
      </c>
      <c r="Q39" t="s">
        <v>68</v>
      </c>
      <c r="R39">
        <v>5</v>
      </c>
      <c r="S39" t="s">
        <v>68</v>
      </c>
      <c r="T39">
        <v>330</v>
      </c>
      <c r="U39" t="s">
        <v>68</v>
      </c>
      <c r="V39">
        <v>19.05</v>
      </c>
      <c r="W39" t="s">
        <v>68</v>
      </c>
      <c r="X39">
        <v>391.44</v>
      </c>
      <c r="Y39" t="s">
        <v>68</v>
      </c>
      <c r="Z39">
        <v>11.36</v>
      </c>
      <c r="AA39" t="s">
        <v>68</v>
      </c>
      <c r="AB39">
        <v>21.2</v>
      </c>
    </row>
    <row r="40" spans="1:28" x14ac:dyDescent="0.3">
      <c r="A40" t="s">
        <v>69</v>
      </c>
      <c r="B40">
        <v>1.5010000000000001E-2</v>
      </c>
      <c r="C40" t="s">
        <v>69</v>
      </c>
      <c r="D40">
        <v>0</v>
      </c>
      <c r="E40" t="s">
        <v>69</v>
      </c>
      <c r="F40">
        <v>18.100000000000001</v>
      </c>
      <c r="G40" t="s">
        <v>69</v>
      </c>
      <c r="H40">
        <v>0</v>
      </c>
      <c r="I40" t="s">
        <v>69</v>
      </c>
      <c r="J40">
        <v>0.53800000000000003</v>
      </c>
      <c r="K40" t="s">
        <v>69</v>
      </c>
      <c r="L40">
        <v>5.7130000000000001</v>
      </c>
      <c r="M40" t="s">
        <v>69</v>
      </c>
      <c r="N40">
        <v>100</v>
      </c>
      <c r="O40" t="s">
        <v>69</v>
      </c>
      <c r="P40">
        <v>3.4952000000000001</v>
      </c>
      <c r="Q40" t="s">
        <v>69</v>
      </c>
      <c r="R40">
        <v>24</v>
      </c>
      <c r="S40" t="s">
        <v>69</v>
      </c>
      <c r="T40">
        <v>666</v>
      </c>
      <c r="U40" t="s">
        <v>69</v>
      </c>
      <c r="V40">
        <v>20.2</v>
      </c>
      <c r="W40" t="s">
        <v>69</v>
      </c>
      <c r="X40">
        <v>396.9</v>
      </c>
      <c r="Y40" t="s">
        <v>69</v>
      </c>
      <c r="Z40">
        <v>8.0500000000000007</v>
      </c>
      <c r="AA40" t="s">
        <v>69</v>
      </c>
      <c r="AB40">
        <v>50</v>
      </c>
    </row>
    <row r="41" spans="1:28" x14ac:dyDescent="0.3">
      <c r="A41" t="s">
        <v>70</v>
      </c>
      <c r="B41">
        <v>8.6015451053324874</v>
      </c>
      <c r="C41" t="s">
        <v>70</v>
      </c>
      <c r="D41">
        <v>23.322452994515139</v>
      </c>
      <c r="E41" t="s">
        <v>70</v>
      </c>
      <c r="F41">
        <v>6.8603529408975747</v>
      </c>
      <c r="G41" t="s">
        <v>70</v>
      </c>
      <c r="H41">
        <v>0.25399404134041037</v>
      </c>
      <c r="I41" t="s">
        <v>70</v>
      </c>
      <c r="J41">
        <v>0.11587767566755379</v>
      </c>
      <c r="K41" t="s">
        <v>70</v>
      </c>
      <c r="L41">
        <v>0.70261714341528281</v>
      </c>
      <c r="M41" t="s">
        <v>70</v>
      </c>
      <c r="N41">
        <v>28.148861406903585</v>
      </c>
      <c r="O41" t="s">
        <v>70</v>
      </c>
      <c r="P41">
        <v>2.1057101266276117</v>
      </c>
      <c r="Q41" t="s">
        <v>70</v>
      </c>
      <c r="R41">
        <v>8.7072593842393662</v>
      </c>
      <c r="S41" t="s">
        <v>70</v>
      </c>
      <c r="T41">
        <v>168.53711605495897</v>
      </c>
      <c r="U41" t="s">
        <v>70</v>
      </c>
      <c r="V41">
        <v>2.1649455237143891</v>
      </c>
      <c r="W41" t="s">
        <v>70</v>
      </c>
      <c r="X41">
        <v>91.294864384160633</v>
      </c>
      <c r="Y41" t="s">
        <v>70</v>
      </c>
      <c r="Z41">
        <v>7.1410615113485498</v>
      </c>
      <c r="AA41" t="s">
        <v>70</v>
      </c>
      <c r="AB41">
        <v>9.1971040873797456</v>
      </c>
    </row>
    <row r="42" spans="1:28" x14ac:dyDescent="0.3">
      <c r="A42" t="s">
        <v>71</v>
      </c>
      <c r="B42">
        <v>73.986578199069285</v>
      </c>
      <c r="C42" t="s">
        <v>71</v>
      </c>
      <c r="D42">
        <v>543.93681368136822</v>
      </c>
      <c r="E42" t="s">
        <v>71</v>
      </c>
      <c r="F42">
        <v>47.064442473682007</v>
      </c>
      <c r="G42" t="s">
        <v>71</v>
      </c>
      <c r="H42">
        <v>6.4512973036434079E-2</v>
      </c>
      <c r="I42" t="s">
        <v>71</v>
      </c>
      <c r="J42">
        <v>1.3427635718114788E-2</v>
      </c>
      <c r="K42" t="s">
        <v>71</v>
      </c>
      <c r="L42">
        <v>0.49367085022105212</v>
      </c>
      <c r="M42" t="s">
        <v>71</v>
      </c>
      <c r="N42">
        <v>792.35839850506602</v>
      </c>
      <c r="O42" t="s">
        <v>71</v>
      </c>
      <c r="P42">
        <v>4.4340151373820733</v>
      </c>
      <c r="Q42" t="s">
        <v>71</v>
      </c>
      <c r="R42">
        <v>75.816365984424522</v>
      </c>
      <c r="S42" t="s">
        <v>71</v>
      </c>
      <c r="T42">
        <v>28404.759488122712</v>
      </c>
      <c r="U42" t="s">
        <v>71</v>
      </c>
      <c r="V42">
        <v>4.6869891206509697</v>
      </c>
      <c r="W42" t="s">
        <v>71</v>
      </c>
      <c r="X42">
        <v>8334.7522629222804</v>
      </c>
      <c r="Y42" t="s">
        <v>71</v>
      </c>
      <c r="Z42">
        <v>50.994759508863638</v>
      </c>
      <c r="AA42" t="s">
        <v>71</v>
      </c>
      <c r="AB42">
        <v>84.586723594097208</v>
      </c>
    </row>
    <row r="43" spans="1:28" x14ac:dyDescent="0.3">
      <c r="A43" t="s">
        <v>72</v>
      </c>
      <c r="B43">
        <v>37.130509129522082</v>
      </c>
      <c r="C43" t="s">
        <v>72</v>
      </c>
      <c r="D43">
        <v>4.0315100837393523</v>
      </c>
      <c r="E43" t="s">
        <v>72</v>
      </c>
      <c r="F43">
        <v>-1.233539601149531</v>
      </c>
      <c r="G43" t="s">
        <v>72</v>
      </c>
      <c r="H43">
        <v>9.6382637778190929</v>
      </c>
      <c r="I43" t="s">
        <v>72</v>
      </c>
      <c r="J43">
        <v>-6.4667133365429397E-2</v>
      </c>
      <c r="K43" t="s">
        <v>72</v>
      </c>
      <c r="L43">
        <v>1.8915003664993173</v>
      </c>
      <c r="M43" t="s">
        <v>72</v>
      </c>
      <c r="N43">
        <v>-0.96771559416269604</v>
      </c>
      <c r="O43" t="s">
        <v>72</v>
      </c>
      <c r="P43">
        <v>0.48794112224439568</v>
      </c>
      <c r="Q43" t="s">
        <v>72</v>
      </c>
      <c r="R43">
        <v>-0.86723199360350334</v>
      </c>
      <c r="S43" t="s">
        <v>72</v>
      </c>
      <c r="T43">
        <v>-1.142407992476824</v>
      </c>
      <c r="U43" t="s">
        <v>72</v>
      </c>
      <c r="V43">
        <v>-0.28509138330541051</v>
      </c>
      <c r="W43" t="s">
        <v>72</v>
      </c>
      <c r="X43">
        <v>7.2268175492606446</v>
      </c>
      <c r="Y43" t="s">
        <v>72</v>
      </c>
      <c r="Z43">
        <v>0.49323951739272553</v>
      </c>
      <c r="AA43" t="s">
        <v>72</v>
      </c>
      <c r="AB43">
        <v>1.495196944165802</v>
      </c>
    </row>
    <row r="44" spans="1:28" x14ac:dyDescent="0.3">
      <c r="A44" t="s">
        <v>73</v>
      </c>
      <c r="B44">
        <v>5.2231487982438543</v>
      </c>
      <c r="C44" t="s">
        <v>73</v>
      </c>
      <c r="D44">
        <v>2.2256663227354609</v>
      </c>
      <c r="E44" t="s">
        <v>73</v>
      </c>
      <c r="F44">
        <v>0.29502156787350237</v>
      </c>
      <c r="G44" t="s">
        <v>73</v>
      </c>
      <c r="H44">
        <v>3.4059041720587047</v>
      </c>
      <c r="I44" t="s">
        <v>73</v>
      </c>
      <c r="J44">
        <v>0.72930792253488452</v>
      </c>
      <c r="K44" t="s">
        <v>73</v>
      </c>
      <c r="L44">
        <v>0.40361213328870982</v>
      </c>
      <c r="M44" t="s">
        <v>73</v>
      </c>
      <c r="N44">
        <v>-0.59896263988129672</v>
      </c>
      <c r="O44" t="s">
        <v>73</v>
      </c>
      <c r="P44">
        <v>1.0117805793009038</v>
      </c>
      <c r="Q44" t="s">
        <v>73</v>
      </c>
      <c r="R44">
        <v>1.004814648218201</v>
      </c>
      <c r="S44" t="s">
        <v>73</v>
      </c>
      <c r="T44">
        <v>0.66995594179501428</v>
      </c>
      <c r="U44" t="s">
        <v>73</v>
      </c>
      <c r="V44">
        <v>-0.8023249268537983</v>
      </c>
      <c r="W44" t="s">
        <v>73</v>
      </c>
      <c r="X44">
        <v>-2.8903737121414275</v>
      </c>
      <c r="Y44" t="s">
        <v>73</v>
      </c>
      <c r="Z44">
        <v>0.90646009359153534</v>
      </c>
      <c r="AA44" t="s">
        <v>73</v>
      </c>
      <c r="AB44">
        <v>1.108098408254901</v>
      </c>
    </row>
    <row r="45" spans="1:28" x14ac:dyDescent="0.3">
      <c r="A45" t="s">
        <v>74</v>
      </c>
      <c r="B45">
        <v>88.969880000000003</v>
      </c>
      <c r="C45" t="s">
        <v>74</v>
      </c>
      <c r="D45">
        <v>100</v>
      </c>
      <c r="E45" t="s">
        <v>74</v>
      </c>
      <c r="F45">
        <v>27.279999999999998</v>
      </c>
      <c r="G45" t="s">
        <v>74</v>
      </c>
      <c r="H45">
        <v>1</v>
      </c>
      <c r="I45" t="s">
        <v>74</v>
      </c>
      <c r="J45">
        <v>0.48599999999999999</v>
      </c>
      <c r="K45" t="s">
        <v>74</v>
      </c>
      <c r="L45">
        <v>5.2189999999999994</v>
      </c>
      <c r="M45" t="s">
        <v>74</v>
      </c>
      <c r="N45">
        <v>97.1</v>
      </c>
      <c r="O45" t="s">
        <v>74</v>
      </c>
      <c r="P45">
        <v>10.9969</v>
      </c>
      <c r="Q45" t="s">
        <v>74</v>
      </c>
      <c r="R45">
        <v>23</v>
      </c>
      <c r="S45" t="s">
        <v>74</v>
      </c>
      <c r="T45">
        <v>524</v>
      </c>
      <c r="U45" t="s">
        <v>74</v>
      </c>
      <c r="V45">
        <v>9.4</v>
      </c>
      <c r="W45" t="s">
        <v>74</v>
      </c>
      <c r="X45">
        <v>396.58</v>
      </c>
      <c r="Y45" t="s">
        <v>74</v>
      </c>
      <c r="Z45">
        <v>36.24</v>
      </c>
      <c r="AA45" t="s">
        <v>74</v>
      </c>
      <c r="AB45">
        <v>45</v>
      </c>
    </row>
    <row r="46" spans="1:28" x14ac:dyDescent="0.3">
      <c r="A46" t="s">
        <v>75</v>
      </c>
      <c r="B46">
        <v>6.3200000000000001E-3</v>
      </c>
      <c r="C46" t="s">
        <v>75</v>
      </c>
      <c r="D46">
        <v>0</v>
      </c>
      <c r="E46" t="s">
        <v>75</v>
      </c>
      <c r="F46">
        <v>0.46</v>
      </c>
      <c r="G46" t="s">
        <v>75</v>
      </c>
      <c r="H46">
        <v>0</v>
      </c>
      <c r="I46" t="s">
        <v>75</v>
      </c>
      <c r="J46">
        <v>0.38500000000000001</v>
      </c>
      <c r="K46" t="s">
        <v>75</v>
      </c>
      <c r="L46">
        <v>3.5609999999999999</v>
      </c>
      <c r="M46" t="s">
        <v>75</v>
      </c>
      <c r="N46">
        <v>2.9</v>
      </c>
      <c r="O46" t="s">
        <v>75</v>
      </c>
      <c r="P46">
        <v>1.1295999999999999</v>
      </c>
      <c r="Q46" t="s">
        <v>75</v>
      </c>
      <c r="R46">
        <v>1</v>
      </c>
      <c r="S46" t="s">
        <v>75</v>
      </c>
      <c r="T46">
        <v>187</v>
      </c>
      <c r="U46" t="s">
        <v>75</v>
      </c>
      <c r="V46">
        <v>12.6</v>
      </c>
      <c r="W46" t="s">
        <v>75</v>
      </c>
      <c r="X46">
        <v>0.32</v>
      </c>
      <c r="Y46" t="s">
        <v>75</v>
      </c>
      <c r="Z46">
        <v>1.73</v>
      </c>
      <c r="AA46" t="s">
        <v>75</v>
      </c>
      <c r="AB46">
        <v>5</v>
      </c>
    </row>
    <row r="47" spans="1:28" x14ac:dyDescent="0.3">
      <c r="A47" t="s">
        <v>76</v>
      </c>
      <c r="B47">
        <v>88.976200000000006</v>
      </c>
      <c r="C47" t="s">
        <v>76</v>
      </c>
      <c r="D47">
        <v>100</v>
      </c>
      <c r="E47" t="s">
        <v>76</v>
      </c>
      <c r="F47">
        <v>27.74</v>
      </c>
      <c r="G47" t="s">
        <v>76</v>
      </c>
      <c r="H47">
        <v>1</v>
      </c>
      <c r="I47" t="s">
        <v>76</v>
      </c>
      <c r="J47">
        <v>0.871</v>
      </c>
      <c r="K47" t="s">
        <v>76</v>
      </c>
      <c r="L47">
        <v>8.7799999999999994</v>
      </c>
      <c r="M47" t="s">
        <v>76</v>
      </c>
      <c r="N47">
        <v>100</v>
      </c>
      <c r="O47" t="s">
        <v>76</v>
      </c>
      <c r="P47">
        <v>12.1265</v>
      </c>
      <c r="Q47" t="s">
        <v>76</v>
      </c>
      <c r="R47">
        <v>24</v>
      </c>
      <c r="S47" t="s">
        <v>76</v>
      </c>
      <c r="T47">
        <v>711</v>
      </c>
      <c r="U47" t="s">
        <v>76</v>
      </c>
      <c r="V47">
        <v>22</v>
      </c>
      <c r="W47" t="s">
        <v>76</v>
      </c>
      <c r="X47">
        <v>396.9</v>
      </c>
      <c r="Y47" t="s">
        <v>76</v>
      </c>
      <c r="Z47">
        <v>37.97</v>
      </c>
      <c r="AA47" t="s">
        <v>76</v>
      </c>
      <c r="AB47">
        <v>50</v>
      </c>
    </row>
    <row r="48" spans="1:28" x14ac:dyDescent="0.3">
      <c r="A48" t="s">
        <v>77</v>
      </c>
      <c r="B48">
        <v>1828.4429200000002</v>
      </c>
      <c r="C48" t="s">
        <v>77</v>
      </c>
      <c r="D48">
        <v>5750</v>
      </c>
      <c r="E48" t="s">
        <v>77</v>
      </c>
      <c r="F48">
        <v>5635.210000000011</v>
      </c>
      <c r="G48" t="s">
        <v>77</v>
      </c>
      <c r="H48">
        <v>35</v>
      </c>
      <c r="I48" t="s">
        <v>77</v>
      </c>
      <c r="J48">
        <v>280.67569999999984</v>
      </c>
      <c r="K48" t="s">
        <v>77</v>
      </c>
      <c r="L48">
        <v>3180.0250000000042</v>
      </c>
      <c r="M48" t="s">
        <v>77</v>
      </c>
      <c r="N48">
        <v>34698.900000000016</v>
      </c>
      <c r="O48" t="s">
        <v>77</v>
      </c>
      <c r="P48">
        <v>1920.2915999999991</v>
      </c>
      <c r="Q48" t="s">
        <v>77</v>
      </c>
      <c r="R48">
        <v>4832</v>
      </c>
      <c r="S48" t="s">
        <v>77</v>
      </c>
      <c r="T48">
        <v>206568</v>
      </c>
      <c r="U48" t="s">
        <v>77</v>
      </c>
      <c r="V48">
        <v>9338.5000000000109</v>
      </c>
      <c r="W48" t="s">
        <v>77</v>
      </c>
      <c r="X48">
        <v>180477.05999999959</v>
      </c>
      <c r="Y48" t="s">
        <v>77</v>
      </c>
      <c r="Z48">
        <v>6402.4500000000016</v>
      </c>
      <c r="AA48" t="s">
        <v>77</v>
      </c>
      <c r="AB48">
        <v>11401.600000000013</v>
      </c>
    </row>
    <row r="49" spans="1:28" ht="15" thickBot="1" x14ac:dyDescent="0.35">
      <c r="A49" s="3" t="s">
        <v>78</v>
      </c>
      <c r="B49" s="3">
        <v>506</v>
      </c>
      <c r="C49" s="3" t="s">
        <v>78</v>
      </c>
      <c r="D49" s="3">
        <v>506</v>
      </c>
      <c r="E49" s="3" t="s">
        <v>78</v>
      </c>
      <c r="F49" s="3">
        <v>506</v>
      </c>
      <c r="G49" s="3" t="s">
        <v>78</v>
      </c>
      <c r="H49" s="3">
        <v>506</v>
      </c>
      <c r="I49" s="3" t="s">
        <v>78</v>
      </c>
      <c r="J49" s="3">
        <v>506</v>
      </c>
      <c r="K49" s="3" t="s">
        <v>78</v>
      </c>
      <c r="L49" s="3">
        <v>506</v>
      </c>
      <c r="M49" s="3" t="s">
        <v>78</v>
      </c>
      <c r="N49" s="3">
        <v>506</v>
      </c>
      <c r="O49" s="3" t="s">
        <v>78</v>
      </c>
      <c r="P49" s="3">
        <v>506</v>
      </c>
      <c r="Q49" s="3" t="s">
        <v>78</v>
      </c>
      <c r="R49" s="3">
        <v>506</v>
      </c>
      <c r="S49" s="3" t="s">
        <v>78</v>
      </c>
      <c r="T49" s="3">
        <v>506</v>
      </c>
      <c r="U49" s="3" t="s">
        <v>78</v>
      </c>
      <c r="V49" s="3">
        <v>506</v>
      </c>
      <c r="W49" s="3" t="s">
        <v>78</v>
      </c>
      <c r="X49" s="3">
        <v>506</v>
      </c>
      <c r="Y49" s="3" t="s">
        <v>78</v>
      </c>
      <c r="Z49" s="3">
        <v>506</v>
      </c>
      <c r="AA49" s="3" t="s">
        <v>78</v>
      </c>
      <c r="AB49" s="3">
        <v>506</v>
      </c>
    </row>
  </sheetData>
  <conditionalFormatting sqref="A19:O33 R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63"/>
  <sheetViews>
    <sheetView tabSelected="1" topLeftCell="K1" workbookViewId="0">
      <selection activeCell="AC39" sqref="AC39:AD39"/>
    </sheetView>
  </sheetViews>
  <sheetFormatPr defaultRowHeight="14.4" x14ac:dyDescent="0.3"/>
  <cols>
    <col min="13" max="13" width="10.109375" bestFit="1" customWidth="1"/>
    <col min="15" max="15" width="10.6640625" bestFit="1" customWidth="1"/>
    <col min="22" max="22" width="17.21875" bestFit="1" customWidth="1"/>
    <col min="23" max="23" width="14.88671875" bestFit="1" customWidth="1"/>
    <col min="24" max="24" width="14.33203125" bestFit="1" customWidth="1"/>
    <col min="26" max="26" width="9.5546875" bestFit="1" customWidth="1"/>
  </cols>
  <sheetData>
    <row r="1" spans="1:3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R1" s="2" t="s">
        <v>31</v>
      </c>
      <c r="S1">
        <f>AVERAGE(Table1[mape])</f>
        <v>16.417298806489988</v>
      </c>
    </row>
    <row r="2" spans="1:36" ht="15" thickBot="1" x14ac:dyDescent="0.35">
      <c r="A2" s="12">
        <v>36.45948838508999</v>
      </c>
      <c r="B2" s="12">
        <v>-0.10801135783679687</v>
      </c>
      <c r="C2" s="12">
        <v>4.6420458366881238E-2</v>
      </c>
      <c r="D2" s="12">
        <v>2.0558626367072032E-2</v>
      </c>
      <c r="E2" s="12">
        <v>2.6867338193448873</v>
      </c>
      <c r="F2" s="12">
        <v>-17.766611228300164</v>
      </c>
      <c r="G2" s="12">
        <v>3.809865206809214</v>
      </c>
      <c r="H2" s="12">
        <v>6.9222464034449636E-4</v>
      </c>
      <c r="I2" s="12">
        <v>-1.4755668456002526</v>
      </c>
      <c r="J2" s="12">
        <v>0.30604947898517504</v>
      </c>
      <c r="K2" s="12">
        <v>-1.2334593916574578E-2</v>
      </c>
      <c r="L2" s="12">
        <v>-0.95274723170729014</v>
      </c>
      <c r="M2" s="12">
        <v>9.3116832737938516E-3</v>
      </c>
      <c r="N2" s="13">
        <v>-0.52475837785548896</v>
      </c>
      <c r="Q2" s="31">
        <v>2.5</v>
      </c>
      <c r="R2" s="2" t="s">
        <v>32</v>
      </c>
      <c r="S2">
        <v>5.5</v>
      </c>
      <c r="AI2" s="2" t="s">
        <v>63</v>
      </c>
      <c r="AJ2" s="2" t="s">
        <v>64</v>
      </c>
    </row>
    <row r="3" spans="1:36" x14ac:dyDescent="0.3">
      <c r="AB3" s="17"/>
      <c r="AC3" s="18" t="s">
        <v>80</v>
      </c>
      <c r="AD3" s="18"/>
      <c r="AE3" s="18"/>
      <c r="AF3" s="18"/>
      <c r="AG3" s="19"/>
      <c r="AI3" cm="1">
        <f t="array" ref="AI3:AI7">TRANSPOSE(AC13:AG13)</f>
        <v>1</v>
      </c>
      <c r="AJ3" cm="1">
        <f t="array" ref="AJ3:AJ7">TRANSPOSE(AC14:AG14)</f>
        <v>40.269353591899204</v>
      </c>
    </row>
    <row r="4" spans="1:36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28</v>
      </c>
      <c r="P4" t="s">
        <v>29</v>
      </c>
      <c r="Q4" t="s">
        <v>30</v>
      </c>
      <c r="AB4" s="20">
        <v>0.1</v>
      </c>
      <c r="AC4" s="21">
        <f>AC9-AD9</f>
        <v>1.7766611228300135</v>
      </c>
      <c r="AD4" s="22"/>
      <c r="AE4" s="22"/>
      <c r="AF4" s="22"/>
      <c r="AG4" s="23"/>
      <c r="AI4">
        <v>2</v>
      </c>
      <c r="AJ4">
        <v>44.079218798708418</v>
      </c>
    </row>
    <row r="5" spans="1:36" x14ac:dyDescent="0.3">
      <c r="A5">
        <v>6.3200000000000001E-3</v>
      </c>
      <c r="B5">
        <v>18</v>
      </c>
      <c r="C5">
        <v>2.31</v>
      </c>
      <c r="D5">
        <v>0</v>
      </c>
      <c r="E5">
        <v>0.53800000000000003</v>
      </c>
      <c r="F5">
        <v>6.5750000000000002</v>
      </c>
      <c r="G5">
        <v>65.2</v>
      </c>
      <c r="H5">
        <v>4.09</v>
      </c>
      <c r="I5">
        <v>1</v>
      </c>
      <c r="J5">
        <v>296</v>
      </c>
      <c r="K5">
        <v>15.3</v>
      </c>
      <c r="L5">
        <v>396.9</v>
      </c>
      <c r="M5">
        <v>4.9800000000000004</v>
      </c>
      <c r="N5">
        <v>24</v>
      </c>
      <c r="O5">
        <f>A$2+SUMPRODUCT(B$2:N$2, A5:M5)</f>
        <v>30.003843377016789</v>
      </c>
      <c r="P5">
        <f>Table1[[#This Row],[medv]]-Table1[[#This Row],[pred_medv]]</f>
        <v>-6.0038433770167892</v>
      </c>
      <c r="Q5">
        <f>IF(Table1[[#This Row],[medv]]=0, "Undefined", ABS((N5-O5)/N5))*100</f>
        <v>25.016014070903285</v>
      </c>
      <c r="AB5" s="24"/>
      <c r="AC5" s="22"/>
      <c r="AD5" s="22"/>
      <c r="AE5" s="22"/>
      <c r="AF5" s="22"/>
      <c r="AG5" s="23"/>
      <c r="AI5">
        <v>3</v>
      </c>
      <c r="AJ5">
        <v>47.889084005517631</v>
      </c>
    </row>
    <row r="6" spans="1:36" x14ac:dyDescent="0.3">
      <c r="A6">
        <v>2.7310000000000001E-2</v>
      </c>
      <c r="B6">
        <v>0</v>
      </c>
      <c r="C6">
        <v>7.07</v>
      </c>
      <c r="D6">
        <v>0</v>
      </c>
      <c r="E6">
        <v>0.46899999999999997</v>
      </c>
      <c r="F6">
        <v>6.4210000000000003</v>
      </c>
      <c r="G6">
        <v>78.900000000000006</v>
      </c>
      <c r="H6">
        <v>4.9671000000000003</v>
      </c>
      <c r="I6">
        <v>2</v>
      </c>
      <c r="J6">
        <v>242</v>
      </c>
      <c r="K6">
        <v>17.8</v>
      </c>
      <c r="L6">
        <v>396.9</v>
      </c>
      <c r="M6">
        <v>9.14</v>
      </c>
      <c r="N6">
        <v>21.6</v>
      </c>
      <c r="O6">
        <f t="shared" ref="O6:O68" si="0">A$2+SUMPRODUCT(B$2:N$2, A6:M6)</f>
        <v>25.025562379053166</v>
      </c>
      <c r="P6">
        <f>Table1[[#This Row],[medv]]-Table1[[#This Row],[pred_medv]]</f>
        <v>-3.4255623790531651</v>
      </c>
      <c r="Q6">
        <f>IF(Table1[[#This Row],[medv]]=0, "Undefined", ABS((N6-O6)/N6))*100</f>
        <v>15.859085088209095</v>
      </c>
      <c r="AB6" s="24"/>
      <c r="AC6" s="22"/>
      <c r="AD6" s="22"/>
      <c r="AE6" s="22"/>
      <c r="AF6" s="22"/>
      <c r="AG6" s="23"/>
      <c r="AI6">
        <v>4</v>
      </c>
      <c r="AJ6">
        <v>51.698949212326845</v>
      </c>
    </row>
    <row r="7" spans="1:36" x14ac:dyDescent="0.3">
      <c r="A7">
        <v>2.7289999999999998E-2</v>
      </c>
      <c r="B7">
        <v>0</v>
      </c>
      <c r="C7">
        <v>7.07</v>
      </c>
      <c r="D7">
        <v>0</v>
      </c>
      <c r="E7">
        <v>0.46899999999999997</v>
      </c>
      <c r="F7">
        <v>7.1849999999999996</v>
      </c>
      <c r="G7">
        <v>61.1</v>
      </c>
      <c r="H7">
        <v>4.9671000000000003</v>
      </c>
      <c r="I7">
        <v>2</v>
      </c>
      <c r="J7">
        <v>242</v>
      </c>
      <c r="K7">
        <v>17.8</v>
      </c>
      <c r="L7">
        <v>392.83</v>
      </c>
      <c r="M7">
        <v>4.03</v>
      </c>
      <c r="N7">
        <v>34.700000000000003</v>
      </c>
      <c r="O7">
        <f t="shared" si="0"/>
        <v>30.567596718601635</v>
      </c>
      <c r="P7">
        <f>Table1[[#This Row],[medv]]-Table1[[#This Row],[pred_medv]]</f>
        <v>4.1324032813983678</v>
      </c>
      <c r="Q7">
        <f>IF(Table1[[#This Row],[medv]]=0, "Undefined", ABS((N7-O7)/N7))*100</f>
        <v>11.908943174058697</v>
      </c>
      <c r="AB7" s="24"/>
      <c r="AC7" s="22"/>
      <c r="AD7" s="22"/>
      <c r="AE7" s="22"/>
      <c r="AF7" s="22"/>
      <c r="AG7" s="23"/>
      <c r="AI7">
        <v>5</v>
      </c>
      <c r="AJ7">
        <v>55.508814419136058</v>
      </c>
    </row>
    <row r="8" spans="1:36" x14ac:dyDescent="0.3">
      <c r="A8">
        <v>3.2370000000000003E-2</v>
      </c>
      <c r="B8">
        <v>0</v>
      </c>
      <c r="C8">
        <v>2.1800000000000002</v>
      </c>
      <c r="D8">
        <v>0</v>
      </c>
      <c r="E8">
        <v>0.45800000000000002</v>
      </c>
      <c r="F8">
        <v>6.9980000000000002</v>
      </c>
      <c r="G8">
        <v>45.8</v>
      </c>
      <c r="H8">
        <v>6.0621999999999998</v>
      </c>
      <c r="I8">
        <v>3</v>
      </c>
      <c r="J8">
        <v>222</v>
      </c>
      <c r="K8">
        <v>18.7</v>
      </c>
      <c r="L8">
        <v>394.63</v>
      </c>
      <c r="M8">
        <v>2.94</v>
      </c>
      <c r="N8">
        <v>33.4</v>
      </c>
      <c r="O8">
        <f t="shared" si="0"/>
        <v>28.607036488728141</v>
      </c>
      <c r="P8">
        <f>Table1[[#This Row],[medv]]-Table1[[#This Row],[pred_medv]]</f>
        <v>4.7929635112718572</v>
      </c>
      <c r="Q8">
        <f>IF(Table1[[#This Row],[medv]]=0, "Undefined", ABS((N8-O8)/N8))*100</f>
        <v>14.350190153508555</v>
      </c>
      <c r="AB8" s="25" t="s">
        <v>66</v>
      </c>
      <c r="AC8" s="29">
        <v>0.38</v>
      </c>
      <c r="AD8" s="29">
        <v>0.48</v>
      </c>
      <c r="AE8" s="29">
        <v>0.57999999999999996</v>
      </c>
      <c r="AF8" s="29">
        <v>0.68</v>
      </c>
      <c r="AG8" s="30">
        <v>0.78</v>
      </c>
    </row>
    <row r="9" spans="1:36" x14ac:dyDescent="0.3">
      <c r="A9">
        <v>6.905E-2</v>
      </c>
      <c r="B9">
        <v>0</v>
      </c>
      <c r="C9">
        <v>2.1800000000000002</v>
      </c>
      <c r="D9">
        <v>0</v>
      </c>
      <c r="E9">
        <v>0.45800000000000002</v>
      </c>
      <c r="F9">
        <v>7.1470000000000002</v>
      </c>
      <c r="G9">
        <v>54.2</v>
      </c>
      <c r="H9">
        <v>6.0621999999999998</v>
      </c>
      <c r="I9">
        <v>3</v>
      </c>
      <c r="J9">
        <v>222</v>
      </c>
      <c r="K9">
        <v>18.7</v>
      </c>
      <c r="L9">
        <v>396.9</v>
      </c>
      <c r="M9">
        <v>5.33</v>
      </c>
      <c r="N9">
        <v>36.200000000000003</v>
      </c>
      <c r="O9">
        <f t="shared" si="0"/>
        <v>27.943524232873042</v>
      </c>
      <c r="P9">
        <f>Table1[[#This Row],[medv]]-Table1[[#This Row],[pred_medv]]</f>
        <v>8.2564757671269611</v>
      </c>
      <c r="Q9">
        <f>IF(Table1[[#This Row],[medv]]=0, "Undefined", ABS((N9-O9)/N9))*100</f>
        <v>22.807944108085525</v>
      </c>
      <c r="AB9" s="25" t="s">
        <v>64</v>
      </c>
      <c r="AC9" s="22">
        <f>$A$2+$W$43*AC$8</f>
        <v>29.708176118335928</v>
      </c>
      <c r="AD9" s="22">
        <f t="shared" ref="AD9:AG9" si="1">$A$2+$W$43*AD$8</f>
        <v>27.931514995505914</v>
      </c>
      <c r="AE9" s="22">
        <f t="shared" si="1"/>
        <v>26.154853872675897</v>
      </c>
      <c r="AF9" s="22">
        <f t="shared" si="1"/>
        <v>24.37819274984588</v>
      </c>
      <c r="AG9" s="23">
        <f t="shared" si="1"/>
        <v>22.601531627015863</v>
      </c>
    </row>
    <row r="10" spans="1:36" x14ac:dyDescent="0.3">
      <c r="A10">
        <v>2.9850000000000002E-2</v>
      </c>
      <c r="B10">
        <v>0</v>
      </c>
      <c r="C10">
        <v>2.1800000000000002</v>
      </c>
      <c r="D10">
        <v>0</v>
      </c>
      <c r="E10">
        <v>0.45800000000000002</v>
      </c>
      <c r="F10">
        <v>6.43</v>
      </c>
      <c r="G10">
        <v>58.7</v>
      </c>
      <c r="H10">
        <v>6.0621999999999998</v>
      </c>
      <c r="I10">
        <v>3</v>
      </c>
      <c r="J10">
        <v>222</v>
      </c>
      <c r="K10">
        <v>18.7</v>
      </c>
      <c r="L10">
        <v>394.12</v>
      </c>
      <c r="M10">
        <v>5.21</v>
      </c>
      <c r="N10">
        <v>28.7</v>
      </c>
      <c r="O10">
        <f t="shared" si="0"/>
        <v>25.2562844615411</v>
      </c>
      <c r="P10">
        <f>Table1[[#This Row],[medv]]-Table1[[#This Row],[pred_medv]]</f>
        <v>3.4437155384588998</v>
      </c>
      <c r="Q10">
        <f>IF(Table1[[#This Row],[medv]]=0, "Undefined", ABS((N10-O10)/N10))*100</f>
        <v>11.999008844804528</v>
      </c>
      <c r="AB10" s="24"/>
      <c r="AC10" s="22" t="s">
        <v>81</v>
      </c>
      <c r="AD10" s="22"/>
      <c r="AE10" s="22"/>
      <c r="AF10" s="22"/>
      <c r="AG10" s="23"/>
    </row>
    <row r="11" spans="1:36" x14ac:dyDescent="0.3">
      <c r="A11">
        <v>8.8289999999999993E-2</v>
      </c>
      <c r="B11">
        <v>12.5</v>
      </c>
      <c r="C11">
        <v>7.87</v>
      </c>
      <c r="D11">
        <v>0</v>
      </c>
      <c r="E11">
        <v>0.52400000000000002</v>
      </c>
      <c r="F11">
        <v>6.0119999999999996</v>
      </c>
      <c r="G11">
        <v>66.599999999999994</v>
      </c>
      <c r="H11">
        <v>5.5605000000000002</v>
      </c>
      <c r="I11">
        <v>5</v>
      </c>
      <c r="J11">
        <v>311</v>
      </c>
      <c r="K11">
        <v>15.2</v>
      </c>
      <c r="L11">
        <v>395.6</v>
      </c>
      <c r="M11">
        <v>12.43</v>
      </c>
      <c r="N11">
        <v>22.9</v>
      </c>
      <c r="O11">
        <f t="shared" si="0"/>
        <v>23.001808268485391</v>
      </c>
      <c r="P11">
        <f>Table1[[#This Row],[medv]]-Table1[[#This Row],[pred_medv]]</f>
        <v>-0.10180826848539226</v>
      </c>
      <c r="Q11">
        <f>IF(Table1[[#This Row],[medv]]=0, "Undefined", ABS((N11-O11)/N11))*100</f>
        <v>0.44457759163926752</v>
      </c>
      <c r="AB11" s="24">
        <v>1</v>
      </c>
      <c r="AC11" s="26">
        <f>(AC14-AD14)*-1</f>
        <v>3.8098652068092136</v>
      </c>
      <c r="AD11" s="22"/>
      <c r="AE11" s="22"/>
      <c r="AF11" s="22"/>
      <c r="AG11" s="23"/>
    </row>
    <row r="12" spans="1:36" x14ac:dyDescent="0.3">
      <c r="A12">
        <v>0.14455000000000001</v>
      </c>
      <c r="B12">
        <v>12.5</v>
      </c>
      <c r="C12">
        <v>7.87</v>
      </c>
      <c r="D12">
        <v>0</v>
      </c>
      <c r="E12">
        <v>0.52400000000000002</v>
      </c>
      <c r="F12">
        <v>6.1719999999999997</v>
      </c>
      <c r="G12">
        <v>96.1</v>
      </c>
      <c r="H12">
        <v>5.9504999999999999</v>
      </c>
      <c r="I12">
        <v>5</v>
      </c>
      <c r="J12">
        <v>311</v>
      </c>
      <c r="K12">
        <v>15.2</v>
      </c>
      <c r="L12">
        <v>396.9</v>
      </c>
      <c r="M12">
        <v>19.149999999999999</v>
      </c>
      <c r="N12">
        <v>27.1</v>
      </c>
      <c r="O12">
        <f t="shared" si="0"/>
        <v>19.535988428756077</v>
      </c>
      <c r="P12">
        <f>Table1[[#This Row],[medv]]-Table1[[#This Row],[pred_medv]]</f>
        <v>7.564011571243924</v>
      </c>
      <c r="Q12">
        <f>IF(Table1[[#This Row],[medv]]=0, "Undefined", ABS((N12-O12)/N12))*100</f>
        <v>27.911481812708207</v>
      </c>
      <c r="AB12" s="24"/>
      <c r="AC12" s="22"/>
      <c r="AD12" s="22"/>
      <c r="AE12" s="22"/>
      <c r="AF12" s="22"/>
      <c r="AG12" s="23"/>
    </row>
    <row r="13" spans="1:36" x14ac:dyDescent="0.3">
      <c r="A13">
        <v>0.21124000000000001</v>
      </c>
      <c r="B13">
        <v>12.5</v>
      </c>
      <c r="C13">
        <v>7.87</v>
      </c>
      <c r="D13">
        <v>0</v>
      </c>
      <c r="E13">
        <v>0.52400000000000002</v>
      </c>
      <c r="F13">
        <v>5.6310000000000002</v>
      </c>
      <c r="G13">
        <v>100</v>
      </c>
      <c r="H13">
        <v>6.0820999999999996</v>
      </c>
      <c r="I13">
        <v>5</v>
      </c>
      <c r="J13">
        <v>311</v>
      </c>
      <c r="K13">
        <v>15.2</v>
      </c>
      <c r="L13">
        <v>386.63</v>
      </c>
      <c r="M13">
        <v>29.93</v>
      </c>
      <c r="N13">
        <v>16.5</v>
      </c>
      <c r="O13">
        <f t="shared" si="0"/>
        <v>11.523636853130473</v>
      </c>
      <c r="P13">
        <f>Table1[[#This Row],[medv]]-Table1[[#This Row],[pred_medv]]</f>
        <v>4.9763631468695273</v>
      </c>
      <c r="Q13">
        <f>IF(Table1[[#This Row],[medv]]=0, "Undefined", ABS((N13-O13)/N13))*100</f>
        <v>30.159776647694102</v>
      </c>
      <c r="AB13" s="25" t="s">
        <v>63</v>
      </c>
      <c r="AC13" s="29">
        <v>1</v>
      </c>
      <c r="AD13" s="29">
        <v>2</v>
      </c>
      <c r="AE13" s="29">
        <v>3</v>
      </c>
      <c r="AF13" s="29">
        <v>4</v>
      </c>
      <c r="AG13" s="30">
        <v>5</v>
      </c>
    </row>
    <row r="14" spans="1:36" ht="15" thickBot="1" x14ac:dyDescent="0.35">
      <c r="A14">
        <v>0.17004</v>
      </c>
      <c r="B14">
        <v>12.5</v>
      </c>
      <c r="C14">
        <v>7.87</v>
      </c>
      <c r="D14">
        <v>0</v>
      </c>
      <c r="E14">
        <v>0.52400000000000002</v>
      </c>
      <c r="F14">
        <v>6.0039999999999996</v>
      </c>
      <c r="G14">
        <v>85.9</v>
      </c>
      <c r="H14">
        <v>6.5921000000000003</v>
      </c>
      <c r="I14">
        <v>5</v>
      </c>
      <c r="J14">
        <v>311</v>
      </c>
      <c r="K14">
        <v>15.2</v>
      </c>
      <c r="L14">
        <v>386.71</v>
      </c>
      <c r="M14">
        <v>17.100000000000001</v>
      </c>
      <c r="N14">
        <v>18.899999999999999</v>
      </c>
      <c r="O14">
        <f t="shared" si="0"/>
        <v>18.920262107076027</v>
      </c>
      <c r="P14">
        <f>Table1[[#This Row],[medv]]-Table1[[#This Row],[pred_medv]]</f>
        <v>-2.0262107076028713E-2</v>
      </c>
      <c r="Q14">
        <f>IF(Table1[[#This Row],[medv]]=0, "Undefined", ABS((N14-O14)/N14))*100</f>
        <v>0.10720691574618367</v>
      </c>
      <c r="AB14" s="27" t="s">
        <v>64</v>
      </c>
      <c r="AC14" s="3">
        <f>$A$2+$W44*AC$13</f>
        <v>40.269353591899204</v>
      </c>
      <c r="AD14" s="3">
        <f t="shared" ref="AD14:AG14" si="2">$A$2+$W44*AD$13</f>
        <v>44.079218798708418</v>
      </c>
      <c r="AE14" s="3">
        <f t="shared" si="2"/>
        <v>47.889084005517631</v>
      </c>
      <c r="AF14" s="3">
        <f t="shared" si="2"/>
        <v>51.698949212326845</v>
      </c>
      <c r="AG14" s="28">
        <f t="shared" si="2"/>
        <v>55.508814419136058</v>
      </c>
    </row>
    <row r="15" spans="1:36" x14ac:dyDescent="0.3">
      <c r="A15">
        <v>0.22489000000000001</v>
      </c>
      <c r="B15">
        <v>12.5</v>
      </c>
      <c r="C15">
        <v>7.87</v>
      </c>
      <c r="D15">
        <v>0</v>
      </c>
      <c r="E15">
        <v>0.52400000000000002</v>
      </c>
      <c r="F15">
        <v>6.3769999999999998</v>
      </c>
      <c r="G15">
        <v>94.3</v>
      </c>
      <c r="H15">
        <v>6.3467000000000002</v>
      </c>
      <c r="I15">
        <v>5</v>
      </c>
      <c r="J15">
        <v>311</v>
      </c>
      <c r="K15">
        <v>15.2</v>
      </c>
      <c r="L15">
        <v>392.52</v>
      </c>
      <c r="M15">
        <v>20.45</v>
      </c>
      <c r="N15">
        <v>15</v>
      </c>
      <c r="O15">
        <f t="shared" si="0"/>
        <v>18.999496511132563</v>
      </c>
      <c r="P15">
        <f>Table1[[#This Row],[medv]]-Table1[[#This Row],[pred_medv]]</f>
        <v>-3.9994965111325627</v>
      </c>
      <c r="Q15">
        <f>IF(Table1[[#This Row],[medv]]=0, "Undefined", ABS((N15-O15)/N15))*100</f>
        <v>26.663310074217083</v>
      </c>
    </row>
    <row r="16" spans="1:36" x14ac:dyDescent="0.3">
      <c r="A16">
        <v>0.11747</v>
      </c>
      <c r="B16">
        <v>12.5</v>
      </c>
      <c r="C16">
        <v>7.87</v>
      </c>
      <c r="D16">
        <v>0</v>
      </c>
      <c r="E16">
        <v>0.52400000000000002</v>
      </c>
      <c r="F16">
        <v>6.0090000000000003</v>
      </c>
      <c r="G16">
        <v>82.9</v>
      </c>
      <c r="H16">
        <v>6.2267000000000001</v>
      </c>
      <c r="I16">
        <v>5</v>
      </c>
      <c r="J16">
        <v>311</v>
      </c>
      <c r="K16">
        <v>15.2</v>
      </c>
      <c r="L16">
        <v>396.9</v>
      </c>
      <c r="M16">
        <v>13.27</v>
      </c>
      <c r="N16">
        <v>18.899999999999999</v>
      </c>
      <c r="O16">
        <f t="shared" si="0"/>
        <v>21.586795681399334</v>
      </c>
      <c r="P16">
        <f>Table1[[#This Row],[medv]]-Table1[[#This Row],[pred_medv]]</f>
        <v>-2.6867956813993352</v>
      </c>
      <c r="Q16">
        <f>IF(Table1[[#This Row],[medv]]=0, "Undefined", ABS((N16-O16)/N16))*100</f>
        <v>14.21585016613405</v>
      </c>
    </row>
    <row r="17" spans="1:27" x14ac:dyDescent="0.3">
      <c r="A17">
        <v>9.3780000000000002E-2</v>
      </c>
      <c r="B17">
        <v>12.5</v>
      </c>
      <c r="C17">
        <v>7.87</v>
      </c>
      <c r="D17">
        <v>0</v>
      </c>
      <c r="E17">
        <v>0.52400000000000002</v>
      </c>
      <c r="F17">
        <v>5.8890000000000002</v>
      </c>
      <c r="G17">
        <v>39</v>
      </c>
      <c r="H17">
        <v>5.4508999999999999</v>
      </c>
      <c r="I17">
        <v>5</v>
      </c>
      <c r="J17">
        <v>311</v>
      </c>
      <c r="K17">
        <v>15.2</v>
      </c>
      <c r="L17">
        <v>390.5</v>
      </c>
      <c r="M17">
        <v>15.71</v>
      </c>
      <c r="N17">
        <v>21.7</v>
      </c>
      <c r="O17">
        <f t="shared" si="0"/>
        <v>20.906521527835263</v>
      </c>
      <c r="P17">
        <f>Table1[[#This Row],[medv]]-Table1[[#This Row],[pred_medv]]</f>
        <v>0.7934784721647361</v>
      </c>
      <c r="Q17">
        <f>IF(Table1[[#This Row],[medv]]=0, "Undefined", ABS((N17-O17)/N17))*100</f>
        <v>3.6565828210356504</v>
      </c>
    </row>
    <row r="18" spans="1:27" x14ac:dyDescent="0.3">
      <c r="A18">
        <v>0.62975999999999999</v>
      </c>
      <c r="B18">
        <v>0</v>
      </c>
      <c r="C18">
        <v>8.14</v>
      </c>
      <c r="D18">
        <v>0</v>
      </c>
      <c r="E18">
        <v>0.53800000000000003</v>
      </c>
      <c r="F18">
        <v>5.9489999999999998</v>
      </c>
      <c r="G18">
        <v>61.8</v>
      </c>
      <c r="H18">
        <v>4.7074999999999996</v>
      </c>
      <c r="I18">
        <v>4</v>
      </c>
      <c r="J18">
        <v>307</v>
      </c>
      <c r="K18">
        <v>21</v>
      </c>
      <c r="L18">
        <v>396.9</v>
      </c>
      <c r="M18">
        <v>8.26</v>
      </c>
      <c r="N18">
        <v>20.399999999999999</v>
      </c>
      <c r="O18">
        <f t="shared" si="0"/>
        <v>19.552902810580935</v>
      </c>
      <c r="P18">
        <f>Table1[[#This Row],[medv]]-Table1[[#This Row],[pred_medv]]</f>
        <v>0.84709718941906331</v>
      </c>
      <c r="Q18">
        <f>IF(Table1[[#This Row],[medv]]=0, "Undefined", ABS((N18-O18)/N18))*100</f>
        <v>4.1524372030346246</v>
      </c>
    </row>
    <row r="19" spans="1:27" x14ac:dyDescent="0.3">
      <c r="A19">
        <v>0.63795999999999997</v>
      </c>
      <c r="B19">
        <v>0</v>
      </c>
      <c r="C19">
        <v>8.14</v>
      </c>
      <c r="D19">
        <v>0</v>
      </c>
      <c r="E19">
        <v>0.53800000000000003</v>
      </c>
      <c r="F19">
        <v>6.0960000000000001</v>
      </c>
      <c r="G19">
        <v>84.5</v>
      </c>
      <c r="H19">
        <v>4.4619</v>
      </c>
      <c r="I19">
        <v>4</v>
      </c>
      <c r="J19">
        <v>307</v>
      </c>
      <c r="K19">
        <v>21</v>
      </c>
      <c r="L19">
        <v>380.02</v>
      </c>
      <c r="M19">
        <v>10.26</v>
      </c>
      <c r="N19">
        <v>18.2</v>
      </c>
      <c r="O19">
        <f t="shared" si="0"/>
        <v>19.28348205009025</v>
      </c>
      <c r="P19">
        <f>Table1[[#This Row],[medv]]-Table1[[#This Row],[pred_medv]]</f>
        <v>-1.0834820500902502</v>
      </c>
      <c r="Q19">
        <f>IF(Table1[[#This Row],[medv]]=0, "Undefined", ABS((N19-O19)/N19))*100</f>
        <v>5.953198077418957</v>
      </c>
    </row>
    <row r="20" spans="1:27" x14ac:dyDescent="0.3">
      <c r="A20">
        <v>0.62739</v>
      </c>
      <c r="B20">
        <v>0</v>
      </c>
      <c r="C20">
        <v>8.14</v>
      </c>
      <c r="D20">
        <v>0</v>
      </c>
      <c r="E20">
        <v>0.53800000000000003</v>
      </c>
      <c r="F20">
        <v>5.8339999999999996</v>
      </c>
      <c r="G20">
        <v>56.5</v>
      </c>
      <c r="H20">
        <v>4.4985999999999997</v>
      </c>
      <c r="I20">
        <v>4</v>
      </c>
      <c r="J20">
        <v>307</v>
      </c>
      <c r="K20">
        <v>21</v>
      </c>
      <c r="L20">
        <v>395.62</v>
      </c>
      <c r="M20">
        <v>8.4700000000000006</v>
      </c>
      <c r="N20">
        <v>19.899999999999999</v>
      </c>
      <c r="O20">
        <f t="shared" si="0"/>
        <v>19.297483208227902</v>
      </c>
      <c r="P20">
        <f>Table1[[#This Row],[medv]]-Table1[[#This Row],[pred_medv]]</f>
        <v>0.60251679177209638</v>
      </c>
      <c r="Q20">
        <f>IF(Table1[[#This Row],[medv]]=0, "Undefined", ABS((N20-O20)/N20))*100</f>
        <v>3.0277225717190777</v>
      </c>
    </row>
    <row r="21" spans="1:27" x14ac:dyDescent="0.3">
      <c r="A21">
        <v>1.05393</v>
      </c>
      <c r="B21">
        <v>0</v>
      </c>
      <c r="C21">
        <v>8.14</v>
      </c>
      <c r="D21">
        <v>0</v>
      </c>
      <c r="E21">
        <v>0.53800000000000003</v>
      </c>
      <c r="F21">
        <v>5.9349999999999996</v>
      </c>
      <c r="G21">
        <v>29.3</v>
      </c>
      <c r="H21">
        <v>4.4985999999999997</v>
      </c>
      <c r="I21">
        <v>4</v>
      </c>
      <c r="J21">
        <v>307</v>
      </c>
      <c r="K21">
        <v>21</v>
      </c>
      <c r="L21">
        <v>386.85</v>
      </c>
      <c r="M21">
        <v>6.58</v>
      </c>
      <c r="N21">
        <v>23.1</v>
      </c>
      <c r="O21">
        <f t="shared" si="0"/>
        <v>20.527509791162259</v>
      </c>
      <c r="P21">
        <f>Table1[[#This Row],[medv]]-Table1[[#This Row],[pred_medv]]</f>
        <v>2.5724902088377419</v>
      </c>
      <c r="Q21">
        <f>IF(Table1[[#This Row],[medv]]=0, "Undefined", ABS((N21-O21)/N21))*100</f>
        <v>11.136321250379835</v>
      </c>
    </row>
    <row r="22" spans="1:27" x14ac:dyDescent="0.3">
      <c r="A22">
        <v>0.78420000000000001</v>
      </c>
      <c r="B22">
        <v>0</v>
      </c>
      <c r="C22">
        <v>8.14</v>
      </c>
      <c r="D22">
        <v>0</v>
      </c>
      <c r="E22">
        <v>0.53800000000000003</v>
      </c>
      <c r="F22">
        <v>5.99</v>
      </c>
      <c r="G22">
        <v>81.7</v>
      </c>
      <c r="H22">
        <v>4.2579000000000002</v>
      </c>
      <c r="I22">
        <v>4</v>
      </c>
      <c r="J22">
        <v>307</v>
      </c>
      <c r="K22">
        <v>21</v>
      </c>
      <c r="L22">
        <v>386.75</v>
      </c>
      <c r="M22">
        <v>14.67</v>
      </c>
      <c r="N22">
        <v>17.5</v>
      </c>
      <c r="O22">
        <f t="shared" si="0"/>
        <v>16.911401346797831</v>
      </c>
      <c r="P22">
        <f>Table1[[#This Row],[medv]]-Table1[[#This Row],[pred_medv]]</f>
        <v>0.58859865320216898</v>
      </c>
      <c r="Q22">
        <f>IF(Table1[[#This Row],[medv]]=0, "Undefined", ABS((N22-O22)/N22))*100</f>
        <v>3.363420875440966</v>
      </c>
      <c r="V22" t="s">
        <v>36</v>
      </c>
    </row>
    <row r="23" spans="1:27" ht="15" thickBot="1" x14ac:dyDescent="0.35">
      <c r="A23">
        <v>0.80271000000000003</v>
      </c>
      <c r="B23">
        <v>0</v>
      </c>
      <c r="C23">
        <v>8.14</v>
      </c>
      <c r="D23">
        <v>0</v>
      </c>
      <c r="E23">
        <v>0.53800000000000003</v>
      </c>
      <c r="F23">
        <v>5.4560000000000004</v>
      </c>
      <c r="G23">
        <v>36.6</v>
      </c>
      <c r="H23">
        <v>3.7965</v>
      </c>
      <c r="I23">
        <v>4</v>
      </c>
      <c r="J23">
        <v>307</v>
      </c>
      <c r="K23">
        <v>21</v>
      </c>
      <c r="L23">
        <v>288.99</v>
      </c>
      <c r="M23">
        <v>11.69</v>
      </c>
      <c r="N23">
        <v>20.2</v>
      </c>
      <c r="O23">
        <f t="shared" si="0"/>
        <v>16.178011056571844</v>
      </c>
      <c r="P23">
        <f>Table1[[#This Row],[medv]]-Table1[[#This Row],[pred_medv]]</f>
        <v>4.0219889434281555</v>
      </c>
      <c r="Q23">
        <f>IF(Table1[[#This Row],[medv]]=0, "Undefined", ABS((N23-O23)/N23))*100</f>
        <v>19.910836353604729</v>
      </c>
    </row>
    <row r="24" spans="1:27" x14ac:dyDescent="0.3">
      <c r="A24">
        <v>0.7258</v>
      </c>
      <c r="B24">
        <v>0</v>
      </c>
      <c r="C24">
        <v>8.14</v>
      </c>
      <c r="D24">
        <v>0</v>
      </c>
      <c r="E24">
        <v>0.53800000000000003</v>
      </c>
      <c r="F24">
        <v>5.7270000000000003</v>
      </c>
      <c r="G24">
        <v>69.5</v>
      </c>
      <c r="H24">
        <v>3.7965</v>
      </c>
      <c r="I24">
        <v>4</v>
      </c>
      <c r="J24">
        <v>307</v>
      </c>
      <c r="K24">
        <v>21</v>
      </c>
      <c r="L24">
        <v>390.95</v>
      </c>
      <c r="M24">
        <v>11.28</v>
      </c>
      <c r="N24">
        <v>18.2</v>
      </c>
      <c r="O24">
        <f t="shared" si="0"/>
        <v>18.406136033332476</v>
      </c>
      <c r="P24">
        <f>Table1[[#This Row],[medv]]-Table1[[#This Row],[pred_medv]]</f>
        <v>-0.2061360333324771</v>
      </c>
      <c r="Q24">
        <f>IF(Table1[[#This Row],[medv]]=0, "Undefined", ABS((N24-O24)/N24))*100</f>
        <v>1.1326155677608631</v>
      </c>
      <c r="V24" s="10" t="s">
        <v>37</v>
      </c>
      <c r="W24" s="10"/>
      <c r="Z24" t="s">
        <v>79</v>
      </c>
    </row>
    <row r="25" spans="1:27" x14ac:dyDescent="0.3">
      <c r="A25">
        <v>1.25179</v>
      </c>
      <c r="B25">
        <v>0</v>
      </c>
      <c r="C25">
        <v>8.14</v>
      </c>
      <c r="D25">
        <v>0</v>
      </c>
      <c r="E25">
        <v>0.53800000000000003</v>
      </c>
      <c r="F25">
        <v>5.57</v>
      </c>
      <c r="G25">
        <v>98.1</v>
      </c>
      <c r="H25">
        <v>3.7978999999999998</v>
      </c>
      <c r="I25">
        <v>4</v>
      </c>
      <c r="J25">
        <v>307</v>
      </c>
      <c r="K25">
        <v>21</v>
      </c>
      <c r="L25">
        <v>376.57</v>
      </c>
      <c r="M25">
        <v>21.02</v>
      </c>
      <c r="N25">
        <v>13.6</v>
      </c>
      <c r="O25">
        <f t="shared" si="0"/>
        <v>12.523857527095245</v>
      </c>
      <c r="P25">
        <f>Table1[[#This Row],[medv]]-Table1[[#This Row],[pred_medv]]</f>
        <v>1.0761424729047544</v>
      </c>
      <c r="Q25">
        <f>IF(Table1[[#This Row],[medv]]=0, "Undefined", ABS((N25-O25)/N25))*100</f>
        <v>7.9128123007702529</v>
      </c>
      <c r="U25" s="2" t="s">
        <v>38</v>
      </c>
      <c r="W25">
        <v>0.86060598656377563</v>
      </c>
    </row>
    <row r="26" spans="1:27" x14ac:dyDescent="0.3">
      <c r="A26">
        <v>0.85204000000000002</v>
      </c>
      <c r="B26">
        <v>0</v>
      </c>
      <c r="C26">
        <v>8.14</v>
      </c>
      <c r="D26">
        <v>0</v>
      </c>
      <c r="E26">
        <v>0.53800000000000003</v>
      </c>
      <c r="F26">
        <v>5.9649999999999999</v>
      </c>
      <c r="G26">
        <v>89.2</v>
      </c>
      <c r="H26">
        <v>4.0122999999999998</v>
      </c>
      <c r="I26">
        <v>4</v>
      </c>
      <c r="J26">
        <v>307</v>
      </c>
      <c r="K26">
        <v>21</v>
      </c>
      <c r="L26">
        <v>392.53</v>
      </c>
      <c r="M26">
        <v>13.83</v>
      </c>
      <c r="N26">
        <v>19.600000000000001</v>
      </c>
      <c r="O26">
        <f t="shared" si="0"/>
        <v>17.671036694915099</v>
      </c>
      <c r="P26">
        <f>Table1[[#This Row],[medv]]-Table1[[#This Row],[pred_medv]]</f>
        <v>1.9289633050849027</v>
      </c>
      <c r="Q26">
        <f>IF(Table1[[#This Row],[medv]]=0, "Undefined", ABS((N26-O26)/N26))*100</f>
        <v>9.8416495157392987</v>
      </c>
      <c r="U26" s="2" t="s">
        <v>39</v>
      </c>
      <c r="W26">
        <v>0.7406426641094096</v>
      </c>
    </row>
    <row r="27" spans="1:27" x14ac:dyDescent="0.3">
      <c r="A27">
        <v>1.23247</v>
      </c>
      <c r="B27">
        <v>0</v>
      </c>
      <c r="C27">
        <v>8.14</v>
      </c>
      <c r="D27">
        <v>0</v>
      </c>
      <c r="E27">
        <v>0.53800000000000003</v>
      </c>
      <c r="F27">
        <v>6.1420000000000003</v>
      </c>
      <c r="G27">
        <v>91.7</v>
      </c>
      <c r="H27">
        <v>3.9769000000000001</v>
      </c>
      <c r="I27">
        <v>4</v>
      </c>
      <c r="J27">
        <v>307</v>
      </c>
      <c r="K27">
        <v>21</v>
      </c>
      <c r="L27">
        <v>396.9</v>
      </c>
      <c r="M27">
        <v>18.72</v>
      </c>
      <c r="N27">
        <v>15.2</v>
      </c>
      <c r="O27">
        <f t="shared" si="0"/>
        <v>15.832881291786727</v>
      </c>
      <c r="P27">
        <f>Table1[[#This Row],[medv]]-Table1[[#This Row],[pred_medv]]</f>
        <v>-0.63288129178672747</v>
      </c>
      <c r="Q27">
        <f>IF(Table1[[#This Row],[medv]]=0, "Undefined", ABS((N27-O27)/N27))*100</f>
        <v>4.1636927091232074</v>
      </c>
      <c r="U27" s="2" t="s">
        <v>40</v>
      </c>
      <c r="W27">
        <v>0.7337897263724632</v>
      </c>
    </row>
    <row r="28" spans="1:27" x14ac:dyDescent="0.3">
      <c r="A28">
        <v>0.98843000000000003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100</v>
      </c>
      <c r="H28">
        <v>4.0952000000000002</v>
      </c>
      <c r="I28">
        <v>4</v>
      </c>
      <c r="J28">
        <v>307</v>
      </c>
      <c r="K28">
        <v>21</v>
      </c>
      <c r="L28">
        <v>394.54</v>
      </c>
      <c r="M28">
        <v>19.88</v>
      </c>
      <c r="N28">
        <v>14.5</v>
      </c>
      <c r="O28">
        <f t="shared" si="0"/>
        <v>13.806285346354816</v>
      </c>
      <c r="P28">
        <f>Table1[[#This Row],[medv]]-Table1[[#This Row],[pred_medv]]</f>
        <v>0.69371465364518414</v>
      </c>
      <c r="Q28">
        <f>IF(Table1[[#This Row],[medv]]=0, "Undefined", ABS((N28-O28)/N28))*100</f>
        <v>4.7842389906564424</v>
      </c>
      <c r="U28" s="2" t="s">
        <v>41</v>
      </c>
      <c r="W28">
        <v>4.7452981816996314</v>
      </c>
    </row>
    <row r="29" spans="1:27" ht="15" thickBot="1" x14ac:dyDescent="0.35">
      <c r="A29">
        <v>0.75026000000000004</v>
      </c>
      <c r="B29">
        <v>0</v>
      </c>
      <c r="C29">
        <v>8.14</v>
      </c>
      <c r="D29">
        <v>0</v>
      </c>
      <c r="E29">
        <v>0.53800000000000003</v>
      </c>
      <c r="F29">
        <v>5.9240000000000004</v>
      </c>
      <c r="G29">
        <v>94.1</v>
      </c>
      <c r="H29">
        <v>4.3996000000000004</v>
      </c>
      <c r="I29">
        <v>4</v>
      </c>
      <c r="J29">
        <v>307</v>
      </c>
      <c r="K29">
        <v>21</v>
      </c>
      <c r="L29">
        <v>394.33</v>
      </c>
      <c r="M29">
        <v>16.3</v>
      </c>
      <c r="N29">
        <v>15.6</v>
      </c>
      <c r="O29">
        <f t="shared" si="0"/>
        <v>15.678338315463037</v>
      </c>
      <c r="P29">
        <f>Table1[[#This Row],[medv]]-Table1[[#This Row],[pred_medv]]</f>
        <v>-7.8338315463037489E-2</v>
      </c>
      <c r="Q29">
        <f>IF(Table1[[#This Row],[medv]]=0, "Undefined", ABS((N29-O29)/N29))*100</f>
        <v>0.50216868886562493</v>
      </c>
      <c r="U29" s="11" t="s">
        <v>42</v>
      </c>
      <c r="W29" s="3">
        <v>506</v>
      </c>
    </row>
    <row r="30" spans="1:27" x14ac:dyDescent="0.3">
      <c r="A30">
        <v>0.84053999999999995</v>
      </c>
      <c r="B30">
        <v>0</v>
      </c>
      <c r="C30">
        <v>8.14</v>
      </c>
      <c r="D30">
        <v>0</v>
      </c>
      <c r="E30">
        <v>0.53800000000000003</v>
      </c>
      <c r="F30">
        <v>5.5990000000000002</v>
      </c>
      <c r="G30">
        <v>85.7</v>
      </c>
      <c r="H30">
        <v>4.4546000000000001</v>
      </c>
      <c r="I30">
        <v>4</v>
      </c>
      <c r="J30">
        <v>307</v>
      </c>
      <c r="K30">
        <v>21</v>
      </c>
      <c r="L30">
        <v>303.42</v>
      </c>
      <c r="M30">
        <v>16.510000000000002</v>
      </c>
      <c r="N30">
        <v>13.9</v>
      </c>
      <c r="O30">
        <f t="shared" si="0"/>
        <v>13.386685608607372</v>
      </c>
      <c r="P30">
        <f>Table1[[#This Row],[medv]]-Table1[[#This Row],[pred_medv]]</f>
        <v>0.51331439139262791</v>
      </c>
      <c r="Q30">
        <f>IF(Table1[[#This Row],[medv]]=0, "Undefined", ABS((N30-O30)/N30))*100</f>
        <v>3.6929092905944456</v>
      </c>
    </row>
    <row r="31" spans="1:27" ht="15" thickBot="1" x14ac:dyDescent="0.35">
      <c r="A31">
        <v>0.67191000000000001</v>
      </c>
      <c r="B31">
        <v>0</v>
      </c>
      <c r="C31">
        <v>8.14</v>
      </c>
      <c r="D31">
        <v>0</v>
      </c>
      <c r="E31">
        <v>0.53800000000000003</v>
      </c>
      <c r="F31">
        <v>5.8129999999999997</v>
      </c>
      <c r="G31">
        <v>90.3</v>
      </c>
      <c r="H31">
        <v>4.6820000000000004</v>
      </c>
      <c r="I31">
        <v>4</v>
      </c>
      <c r="J31">
        <v>307</v>
      </c>
      <c r="K31">
        <v>21</v>
      </c>
      <c r="L31">
        <v>376.88</v>
      </c>
      <c r="M31">
        <v>14.81</v>
      </c>
      <c r="N31">
        <v>16.600000000000001</v>
      </c>
      <c r="O31">
        <f t="shared" si="0"/>
        <v>15.463976546439877</v>
      </c>
      <c r="P31">
        <f>Table1[[#This Row],[medv]]-Table1[[#This Row],[pred_medv]]</f>
        <v>1.1360234535601244</v>
      </c>
      <c r="Q31">
        <f>IF(Table1[[#This Row],[medv]]=0, "Undefined", ABS((N31-O31)/N31))*100</f>
        <v>6.8435147804826766</v>
      </c>
      <c r="V31" t="s">
        <v>43</v>
      </c>
    </row>
    <row r="32" spans="1:27" x14ac:dyDescent="0.3">
      <c r="A32">
        <v>0.95577000000000001</v>
      </c>
      <c r="B32">
        <v>0</v>
      </c>
      <c r="C32">
        <v>8.14</v>
      </c>
      <c r="D32">
        <v>0</v>
      </c>
      <c r="E32">
        <v>0.53800000000000003</v>
      </c>
      <c r="F32">
        <v>6.0469999999999997</v>
      </c>
      <c r="G32">
        <v>88.8</v>
      </c>
      <c r="H32">
        <v>4.4534000000000002</v>
      </c>
      <c r="I32">
        <v>4</v>
      </c>
      <c r="J32">
        <v>307</v>
      </c>
      <c r="K32">
        <v>21</v>
      </c>
      <c r="L32">
        <v>306.38</v>
      </c>
      <c r="M32">
        <v>17.28</v>
      </c>
      <c r="N32">
        <v>14.8</v>
      </c>
      <c r="O32">
        <f t="shared" si="0"/>
        <v>14.708474280635855</v>
      </c>
      <c r="P32">
        <f>Table1[[#This Row],[medv]]-Table1[[#This Row],[pred_medv]]</f>
        <v>9.1525719364145885E-2</v>
      </c>
      <c r="Q32">
        <f>IF(Table1[[#This Row],[medv]]=0, "Undefined", ABS((N32-O32)/N32))*100</f>
        <v>0.61841702273071542</v>
      </c>
      <c r="V32" s="4"/>
      <c r="W32" s="4" t="s">
        <v>47</v>
      </c>
      <c r="X32" s="4" t="s">
        <v>48</v>
      </c>
      <c r="Y32" s="4" t="s">
        <v>49</v>
      </c>
      <c r="Z32" s="4" t="s">
        <v>50</v>
      </c>
      <c r="AA32" s="4" t="s">
        <v>51</v>
      </c>
    </row>
    <row r="33" spans="1:30" x14ac:dyDescent="0.3">
      <c r="A33">
        <v>0.77298999999999995</v>
      </c>
      <c r="B33">
        <v>0</v>
      </c>
      <c r="C33">
        <v>8.14</v>
      </c>
      <c r="D33">
        <v>0</v>
      </c>
      <c r="E33">
        <v>0.53800000000000003</v>
      </c>
      <c r="F33">
        <v>6.4950000000000001</v>
      </c>
      <c r="G33">
        <v>94.4</v>
      </c>
      <c r="H33">
        <v>4.4546999999999999</v>
      </c>
      <c r="I33">
        <v>4</v>
      </c>
      <c r="J33">
        <v>307</v>
      </c>
      <c r="K33">
        <v>21</v>
      </c>
      <c r="L33">
        <v>387.94</v>
      </c>
      <c r="M33">
        <v>12.8</v>
      </c>
      <c r="N33">
        <v>18.399999999999999</v>
      </c>
      <c r="O33">
        <f t="shared" si="0"/>
        <v>19.547372850961658</v>
      </c>
      <c r="P33">
        <f>Table1[[#This Row],[medv]]-Table1[[#This Row],[pred_medv]]</f>
        <v>-1.1473728509616592</v>
      </c>
      <c r="Q33">
        <f>IF(Table1[[#This Row],[medv]]=0, "Undefined", ABS((N33-O33)/N33))*100</f>
        <v>6.2357220160959743</v>
      </c>
      <c r="V33" t="s">
        <v>44</v>
      </c>
      <c r="W33">
        <v>13</v>
      </c>
      <c r="X33">
        <v>31637.510837064816</v>
      </c>
      <c r="Y33">
        <v>2433.6546797742167</v>
      </c>
      <c r="Z33">
        <v>108.07666617432631</v>
      </c>
      <c r="AA33">
        <v>6.7221747501128507E-135</v>
      </c>
    </row>
    <row r="34" spans="1:30" x14ac:dyDescent="0.3">
      <c r="A34">
        <v>1.0024500000000001</v>
      </c>
      <c r="B34">
        <v>0</v>
      </c>
      <c r="C34">
        <v>8.14</v>
      </c>
      <c r="D34">
        <v>0</v>
      </c>
      <c r="E34">
        <v>0.53800000000000003</v>
      </c>
      <c r="F34">
        <v>6.6740000000000004</v>
      </c>
      <c r="G34">
        <v>87.3</v>
      </c>
      <c r="H34">
        <v>4.2389999999999999</v>
      </c>
      <c r="I34">
        <v>4</v>
      </c>
      <c r="J34">
        <v>307</v>
      </c>
      <c r="K34">
        <v>21</v>
      </c>
      <c r="L34">
        <v>380.23</v>
      </c>
      <c r="M34">
        <v>11.98</v>
      </c>
      <c r="N34">
        <v>21</v>
      </c>
      <c r="O34">
        <f t="shared" si="0"/>
        <v>20.876428202261355</v>
      </c>
      <c r="P34">
        <f>Table1[[#This Row],[medv]]-Table1[[#This Row],[pred_medv]]</f>
        <v>0.12357179773864502</v>
      </c>
      <c r="Q34">
        <f>IF(Table1[[#This Row],[medv]]=0, "Undefined", ABS((N34-O34)/N34))*100</f>
        <v>0.58843713208878579</v>
      </c>
      <c r="V34" t="s">
        <v>45</v>
      </c>
      <c r="W34">
        <v>492</v>
      </c>
      <c r="X34">
        <v>11078.784577954977</v>
      </c>
      <c r="Y34">
        <v>22.517854833241824</v>
      </c>
    </row>
    <row r="35" spans="1:30" ht="15" thickBot="1" x14ac:dyDescent="0.35">
      <c r="A35">
        <v>1.1308100000000001</v>
      </c>
      <c r="B35">
        <v>0</v>
      </c>
      <c r="C35">
        <v>8.14</v>
      </c>
      <c r="D35">
        <v>0</v>
      </c>
      <c r="E35">
        <v>0.53800000000000003</v>
      </c>
      <c r="F35">
        <v>5.7130000000000001</v>
      </c>
      <c r="G35">
        <v>94.1</v>
      </c>
      <c r="H35">
        <v>4.2329999999999997</v>
      </c>
      <c r="I35">
        <v>4</v>
      </c>
      <c r="J35">
        <v>307</v>
      </c>
      <c r="K35">
        <v>21</v>
      </c>
      <c r="L35">
        <v>360.17</v>
      </c>
      <c r="M35">
        <v>22.6</v>
      </c>
      <c r="N35">
        <v>12.7</v>
      </c>
      <c r="O35">
        <f t="shared" si="0"/>
        <v>11.455117589956121</v>
      </c>
      <c r="P35">
        <f>Table1[[#This Row],[medv]]-Table1[[#This Row],[pred_medv]]</f>
        <v>1.2448824100438785</v>
      </c>
      <c r="Q35">
        <f>IF(Table1[[#This Row],[medv]]=0, "Undefined", ABS((N35-O35)/N35))*100</f>
        <v>9.8022237011329025</v>
      </c>
      <c r="V35" s="3" t="s">
        <v>46</v>
      </c>
      <c r="W35" s="3">
        <v>505</v>
      </c>
      <c r="X35" s="3">
        <v>42716.295415019791</v>
      </c>
      <c r="Y35" s="3"/>
      <c r="Z35" s="3"/>
      <c r="AA35" s="3"/>
    </row>
    <row r="36" spans="1:30" ht="15" thickBot="1" x14ac:dyDescent="0.35">
      <c r="A36">
        <v>1.3547199999999999</v>
      </c>
      <c r="B36">
        <v>0</v>
      </c>
      <c r="C36">
        <v>8.14</v>
      </c>
      <c r="D36">
        <v>0</v>
      </c>
      <c r="E36">
        <v>0.53800000000000003</v>
      </c>
      <c r="F36">
        <v>6.0720000000000001</v>
      </c>
      <c r="G36">
        <v>100</v>
      </c>
      <c r="H36">
        <v>4.1749999999999998</v>
      </c>
      <c r="I36">
        <v>4</v>
      </c>
      <c r="J36">
        <v>307</v>
      </c>
      <c r="K36">
        <v>21</v>
      </c>
      <c r="L36">
        <v>376.73</v>
      </c>
      <c r="M36">
        <v>13.04</v>
      </c>
      <c r="N36">
        <v>14.5</v>
      </c>
      <c r="O36">
        <f t="shared" si="0"/>
        <v>18.059232945802741</v>
      </c>
      <c r="P36">
        <f>Table1[[#This Row],[medv]]-Table1[[#This Row],[pred_medv]]</f>
        <v>-3.5592329458027407</v>
      </c>
      <c r="Q36">
        <f>IF(Table1[[#This Row],[medv]]=0, "Undefined", ABS((N36-O36)/N36))*100</f>
        <v>24.546434108984418</v>
      </c>
    </row>
    <row r="37" spans="1:30" x14ac:dyDescent="0.3">
      <c r="A37">
        <v>1.3879900000000001</v>
      </c>
      <c r="B37">
        <v>0</v>
      </c>
      <c r="C37">
        <v>8.14</v>
      </c>
      <c r="D37">
        <v>0</v>
      </c>
      <c r="E37">
        <v>0.53800000000000003</v>
      </c>
      <c r="F37">
        <v>5.95</v>
      </c>
      <c r="G37">
        <v>82</v>
      </c>
      <c r="H37">
        <v>3.99</v>
      </c>
      <c r="I37">
        <v>4</v>
      </c>
      <c r="J37">
        <v>307</v>
      </c>
      <c r="K37">
        <v>21</v>
      </c>
      <c r="L37">
        <v>232.6</v>
      </c>
      <c r="M37">
        <v>27.71</v>
      </c>
      <c r="N37">
        <v>13.2</v>
      </c>
      <c r="O37">
        <f t="shared" si="0"/>
        <v>8.8110573622146973</v>
      </c>
      <c r="P37">
        <f>Table1[[#This Row],[medv]]-Table1[[#This Row],[pred_medv]]</f>
        <v>4.388942637785302</v>
      </c>
      <c r="Q37">
        <f>IF(Table1[[#This Row],[medv]]=0, "Undefined", ABS((N37-O37)/N37))*100</f>
        <v>33.249565437767444</v>
      </c>
      <c r="V37" s="14" t="s">
        <v>65</v>
      </c>
      <c r="W37" s="14" t="s">
        <v>52</v>
      </c>
      <c r="X37" s="4" t="s">
        <v>41</v>
      </c>
      <c r="Y37" s="4" t="s">
        <v>53</v>
      </c>
      <c r="Z37" s="4" t="s">
        <v>54</v>
      </c>
      <c r="AA37" s="4" t="s">
        <v>55</v>
      </c>
      <c r="AB37" s="4" t="s">
        <v>56</v>
      </c>
      <c r="AC37" s="4" t="s">
        <v>57</v>
      </c>
      <c r="AD37" s="4" t="s">
        <v>58</v>
      </c>
    </row>
    <row r="38" spans="1:30" x14ac:dyDescent="0.3">
      <c r="A38">
        <v>1.1517200000000001</v>
      </c>
      <c r="B38">
        <v>0</v>
      </c>
      <c r="C38">
        <v>8.14</v>
      </c>
      <c r="D38">
        <v>0</v>
      </c>
      <c r="E38">
        <v>0.53800000000000003</v>
      </c>
      <c r="F38">
        <v>5.7009999999999996</v>
      </c>
      <c r="G38">
        <v>95</v>
      </c>
      <c r="H38">
        <v>3.7871999999999999</v>
      </c>
      <c r="I38">
        <v>4</v>
      </c>
      <c r="J38">
        <v>307</v>
      </c>
      <c r="K38">
        <v>21</v>
      </c>
      <c r="L38">
        <v>358.77</v>
      </c>
      <c r="M38">
        <v>18.350000000000001</v>
      </c>
      <c r="N38">
        <v>13.1</v>
      </c>
      <c r="O38">
        <f t="shared" si="0"/>
        <v>14.282758141229458</v>
      </c>
      <c r="P38">
        <f>Table1[[#This Row],[medv]]-Table1[[#This Row],[pred_medv]]</f>
        <v>-1.1827581412294581</v>
      </c>
      <c r="Q38">
        <f>IF(Table1[[#This Row],[medv]]=0, "Undefined", ABS((N38-O38)/N38))*100</f>
        <v>9.02868810098823</v>
      </c>
      <c r="V38" s="2" t="s">
        <v>14</v>
      </c>
      <c r="W38" s="5">
        <v>36.45948838508999</v>
      </c>
      <c r="X38">
        <v>5.103458810637397</v>
      </c>
      <c r="Y38">
        <v>7.1440741931914173</v>
      </c>
      <c r="Z38" s="15">
        <v>3.2834384987068711E-12</v>
      </c>
      <c r="AA38">
        <v>26.432226009260816</v>
      </c>
      <c r="AB38">
        <v>46.486750760919165</v>
      </c>
      <c r="AC38">
        <v>26.432226009260816</v>
      </c>
      <c r="AD38">
        <v>46.486750760919165</v>
      </c>
    </row>
    <row r="39" spans="1:30" x14ac:dyDescent="0.3">
      <c r="A39">
        <v>1.6128199999999999</v>
      </c>
      <c r="B39">
        <v>0</v>
      </c>
      <c r="C39">
        <v>8.14</v>
      </c>
      <c r="D39">
        <v>0</v>
      </c>
      <c r="E39">
        <v>0.53800000000000003</v>
      </c>
      <c r="F39">
        <v>6.0960000000000001</v>
      </c>
      <c r="G39">
        <v>96.9</v>
      </c>
      <c r="H39">
        <v>3.7597999999999998</v>
      </c>
      <c r="I39">
        <v>4</v>
      </c>
      <c r="J39">
        <v>307</v>
      </c>
      <c r="K39">
        <v>21</v>
      </c>
      <c r="L39">
        <v>248.31</v>
      </c>
      <c r="M39">
        <v>20.34</v>
      </c>
      <c r="N39">
        <v>13.5</v>
      </c>
      <c r="O39">
        <f t="shared" si="0"/>
        <v>13.706758912850965</v>
      </c>
      <c r="P39">
        <f>Table1[[#This Row],[medv]]-Table1[[#This Row],[pred_medv]]</f>
        <v>-0.20675891285096526</v>
      </c>
      <c r="Q39">
        <f>IF(Table1[[#This Row],[medv]]=0, "Undefined", ABS((N39-O39)/N39))*100</f>
        <v>1.5315475025997427</v>
      </c>
      <c r="V39" s="2" t="s">
        <v>0</v>
      </c>
      <c r="W39" s="5">
        <v>-0.10801135783679687</v>
      </c>
      <c r="X39">
        <v>3.2864994182947797E-2</v>
      </c>
      <c r="Y39">
        <v>-3.2865168706720547</v>
      </c>
      <c r="Z39" s="15">
        <v>1.0868100955616022E-3</v>
      </c>
      <c r="AA39">
        <v>-0.17258441150103493</v>
      </c>
      <c r="AB39">
        <v>-4.3438304172558811E-2</v>
      </c>
      <c r="AC39">
        <v>-0.17258441150103493</v>
      </c>
      <c r="AD39">
        <v>-4.3438304172558811E-2</v>
      </c>
    </row>
    <row r="40" spans="1:30" x14ac:dyDescent="0.3">
      <c r="A40">
        <v>6.4170000000000005E-2</v>
      </c>
      <c r="B40">
        <v>0</v>
      </c>
      <c r="C40">
        <v>5.96</v>
      </c>
      <c r="D40">
        <v>0</v>
      </c>
      <c r="E40">
        <v>0.499</v>
      </c>
      <c r="F40">
        <v>5.9329999999999998</v>
      </c>
      <c r="G40">
        <v>68.2</v>
      </c>
      <c r="H40">
        <v>3.3603000000000001</v>
      </c>
      <c r="I40">
        <v>5</v>
      </c>
      <c r="J40">
        <v>279</v>
      </c>
      <c r="K40">
        <v>19.2</v>
      </c>
      <c r="L40">
        <v>396.9</v>
      </c>
      <c r="M40">
        <v>9.68</v>
      </c>
      <c r="N40">
        <v>18.899999999999999</v>
      </c>
      <c r="O40">
        <f t="shared" si="0"/>
        <v>23.814635264832845</v>
      </c>
      <c r="P40">
        <f>Table1[[#This Row],[medv]]-Table1[[#This Row],[pred_medv]]</f>
        <v>-4.914635264832846</v>
      </c>
      <c r="Q40">
        <f>IF(Table1[[#This Row],[medv]]=0, "Undefined", ABS((N40-O40)/N40))*100</f>
        <v>26.003361189591779</v>
      </c>
      <c r="V40" s="2" t="s">
        <v>1</v>
      </c>
      <c r="W40" s="5">
        <v>4.6420458366881238E-2</v>
      </c>
      <c r="X40">
        <v>1.3727461542885554E-2</v>
      </c>
      <c r="Y40">
        <v>3.3815762821014261</v>
      </c>
      <c r="Z40" s="15">
        <v>7.7810968760986339E-4</v>
      </c>
      <c r="AA40">
        <v>1.9448778227578505E-2</v>
      </c>
      <c r="AB40">
        <v>7.3392138506183979E-2</v>
      </c>
      <c r="AC40">
        <v>1.9448778227578505E-2</v>
      </c>
      <c r="AD40">
        <v>7.3392138506183979E-2</v>
      </c>
    </row>
    <row r="41" spans="1:30" x14ac:dyDescent="0.3">
      <c r="A41">
        <v>9.7439999999999999E-2</v>
      </c>
      <c r="B41">
        <v>0</v>
      </c>
      <c r="C41">
        <v>5.96</v>
      </c>
      <c r="D41">
        <v>0</v>
      </c>
      <c r="E41">
        <v>0.499</v>
      </c>
      <c r="F41">
        <v>5.8410000000000002</v>
      </c>
      <c r="G41">
        <v>61.4</v>
      </c>
      <c r="H41">
        <v>3.3778999999999999</v>
      </c>
      <c r="I41">
        <v>5</v>
      </c>
      <c r="J41">
        <v>279</v>
      </c>
      <c r="K41">
        <v>19.2</v>
      </c>
      <c r="L41">
        <v>377.56</v>
      </c>
      <c r="M41">
        <v>11.41</v>
      </c>
      <c r="N41">
        <v>20</v>
      </c>
      <c r="O41">
        <f t="shared" si="0"/>
        <v>22.341937075689092</v>
      </c>
      <c r="P41">
        <f>Table1[[#This Row],[medv]]-Table1[[#This Row],[pred_medv]]</f>
        <v>-2.341937075689092</v>
      </c>
      <c r="Q41">
        <f>IF(Table1[[#This Row],[medv]]=0, "Undefined", ABS((N41-O41)/N41))*100</f>
        <v>11.70968537844546</v>
      </c>
      <c r="V41" s="2" t="s">
        <v>2</v>
      </c>
      <c r="W41" s="5">
        <v>2.0558626367072032E-2</v>
      </c>
      <c r="X41">
        <v>6.1495688952085001E-2</v>
      </c>
      <c r="Y41">
        <v>0.33431004217369609</v>
      </c>
      <c r="Z41" s="15">
        <v>0.73828807140471819</v>
      </c>
      <c r="AA41">
        <v>-0.10026794067010197</v>
      </c>
      <c r="AB41">
        <v>0.14138519340424605</v>
      </c>
      <c r="AC41">
        <v>-0.10026794067010197</v>
      </c>
      <c r="AD41">
        <v>0.14138519340424605</v>
      </c>
    </row>
    <row r="42" spans="1:30" x14ac:dyDescent="0.3">
      <c r="A42">
        <v>8.0140000000000003E-2</v>
      </c>
      <c r="B42">
        <v>0</v>
      </c>
      <c r="C42">
        <v>5.96</v>
      </c>
      <c r="D42">
        <v>0</v>
      </c>
      <c r="E42">
        <v>0.499</v>
      </c>
      <c r="F42">
        <v>5.85</v>
      </c>
      <c r="G42">
        <v>41.5</v>
      </c>
      <c r="H42">
        <v>3.9342000000000001</v>
      </c>
      <c r="I42">
        <v>5</v>
      </c>
      <c r="J42">
        <v>279</v>
      </c>
      <c r="K42">
        <v>19.2</v>
      </c>
      <c r="L42">
        <v>396.9</v>
      </c>
      <c r="M42">
        <v>8.77</v>
      </c>
      <c r="N42">
        <v>21</v>
      </c>
      <c r="O42">
        <f t="shared" si="0"/>
        <v>23.108911424544338</v>
      </c>
      <c r="P42">
        <f>Table1[[#This Row],[medv]]-Table1[[#This Row],[pred_medv]]</f>
        <v>-2.1089114245443383</v>
      </c>
      <c r="Q42">
        <f>IF(Table1[[#This Row],[medv]]=0, "Undefined", ABS((N42-O42)/N42))*100</f>
        <v>10.042435354973039</v>
      </c>
      <c r="V42" s="2" t="s">
        <v>3</v>
      </c>
      <c r="W42" s="5">
        <v>2.6867338193448873</v>
      </c>
      <c r="X42">
        <v>0.86157975620992278</v>
      </c>
      <c r="Y42">
        <v>3.1183808579298469</v>
      </c>
      <c r="Z42" s="15">
        <v>1.9250303308410177E-3</v>
      </c>
      <c r="AA42">
        <v>0.99390419265866203</v>
      </c>
      <c r="AB42">
        <v>4.3795634460311126</v>
      </c>
      <c r="AC42">
        <v>0.99390419265866203</v>
      </c>
      <c r="AD42">
        <v>4.3795634460311126</v>
      </c>
    </row>
    <row r="43" spans="1:30" x14ac:dyDescent="0.3">
      <c r="A43">
        <v>0.17505000000000001</v>
      </c>
      <c r="B43">
        <v>0</v>
      </c>
      <c r="C43">
        <v>5.96</v>
      </c>
      <c r="D43">
        <v>0</v>
      </c>
      <c r="E43">
        <v>0.499</v>
      </c>
      <c r="F43">
        <v>5.9660000000000002</v>
      </c>
      <c r="G43">
        <v>30.2</v>
      </c>
      <c r="H43">
        <v>3.8473000000000002</v>
      </c>
      <c r="I43">
        <v>5</v>
      </c>
      <c r="J43">
        <v>279</v>
      </c>
      <c r="K43">
        <v>19.2</v>
      </c>
      <c r="L43">
        <v>393.43</v>
      </c>
      <c r="M43">
        <v>10.130000000000001</v>
      </c>
      <c r="N43">
        <v>24.7</v>
      </c>
      <c r="O43">
        <f t="shared" si="0"/>
        <v>22.915026116165158</v>
      </c>
      <c r="P43">
        <f>Table1[[#This Row],[medv]]-Table1[[#This Row],[pred_medv]]</f>
        <v>1.7849738838348408</v>
      </c>
      <c r="Q43">
        <f>IF(Table1[[#This Row],[medv]]=0, "Undefined", ABS((N43-O43)/N43))*100</f>
        <v>7.2266149143110967</v>
      </c>
      <c r="V43" s="2" t="s">
        <v>4</v>
      </c>
      <c r="W43" s="5">
        <v>-17.766611228300164</v>
      </c>
      <c r="X43">
        <v>3.8197437074025506</v>
      </c>
      <c r="Y43">
        <v>-4.6512574112941127</v>
      </c>
      <c r="Z43" s="15">
        <v>4.2456438076461301E-6</v>
      </c>
      <c r="AA43">
        <v>-25.271633563880485</v>
      </c>
      <c r="AB43">
        <v>-10.261588892719843</v>
      </c>
      <c r="AC43">
        <v>-25.271633563880485</v>
      </c>
      <c r="AD43">
        <v>-10.261588892719843</v>
      </c>
    </row>
    <row r="44" spans="1:30" x14ac:dyDescent="0.3">
      <c r="A44">
        <v>2.7629999999999998E-2</v>
      </c>
      <c r="B44">
        <v>75</v>
      </c>
      <c r="C44">
        <v>2.95</v>
      </c>
      <c r="D44">
        <v>0</v>
      </c>
      <c r="E44">
        <v>0.42799999999999999</v>
      </c>
      <c r="F44">
        <v>6.5949999999999998</v>
      </c>
      <c r="G44">
        <v>21.8</v>
      </c>
      <c r="H44">
        <v>5.4010999999999996</v>
      </c>
      <c r="I44">
        <v>3</v>
      </c>
      <c r="J44">
        <v>252</v>
      </c>
      <c r="K44">
        <v>18.3</v>
      </c>
      <c r="L44">
        <v>395.63</v>
      </c>
      <c r="M44">
        <v>4.32</v>
      </c>
      <c r="N44">
        <v>30.8</v>
      </c>
      <c r="O44">
        <f t="shared" si="0"/>
        <v>31.35762568816487</v>
      </c>
      <c r="P44">
        <f>Table1[[#This Row],[medv]]-Table1[[#This Row],[pred_medv]]</f>
        <v>-0.5576256881648689</v>
      </c>
      <c r="Q44">
        <f>IF(Table1[[#This Row],[medv]]=0, "Undefined", ABS((N44-O44)/N44))*100</f>
        <v>1.8104730135223017</v>
      </c>
      <c r="V44" s="2" t="s">
        <v>5</v>
      </c>
      <c r="W44" s="5">
        <v>3.809865206809214</v>
      </c>
      <c r="X44">
        <v>0.41792525380959239</v>
      </c>
      <c r="Y44">
        <v>9.1161401999052121</v>
      </c>
      <c r="Z44" s="15">
        <v>1.9794410955740289E-18</v>
      </c>
      <c r="AA44">
        <v>2.988726773263124</v>
      </c>
      <c r="AB44">
        <v>4.6310036403553045</v>
      </c>
      <c r="AC44">
        <v>2.988726773263124</v>
      </c>
      <c r="AD44">
        <v>4.6310036403553045</v>
      </c>
    </row>
    <row r="45" spans="1:30" x14ac:dyDescent="0.3">
      <c r="A45">
        <v>3.3590000000000002E-2</v>
      </c>
      <c r="B45">
        <v>75</v>
      </c>
      <c r="C45">
        <v>2.95</v>
      </c>
      <c r="D45">
        <v>0</v>
      </c>
      <c r="E45">
        <v>0.42799999999999999</v>
      </c>
      <c r="F45">
        <v>7.024</v>
      </c>
      <c r="G45">
        <v>15.8</v>
      </c>
      <c r="H45">
        <v>5.4010999999999996</v>
      </c>
      <c r="I45">
        <v>3</v>
      </c>
      <c r="J45">
        <v>252</v>
      </c>
      <c r="K45">
        <v>18.3</v>
      </c>
      <c r="L45">
        <v>395.62</v>
      </c>
      <c r="M45">
        <v>1.98</v>
      </c>
      <c r="N45">
        <v>34.9</v>
      </c>
      <c r="O45">
        <f t="shared" si="0"/>
        <v>34.215102253700351</v>
      </c>
      <c r="P45">
        <f>Table1[[#This Row],[medv]]-Table1[[#This Row],[pred_medv]]</f>
        <v>0.68489774629964728</v>
      </c>
      <c r="Q45">
        <f>IF(Table1[[#This Row],[medv]]=0, "Undefined", ABS((N45-O45)/N45))*100</f>
        <v>1.9624577257869549</v>
      </c>
      <c r="V45" s="2" t="s">
        <v>6</v>
      </c>
      <c r="W45" s="5">
        <v>6.9222464034449636E-4</v>
      </c>
      <c r="X45">
        <v>1.3209781983681938E-2</v>
      </c>
      <c r="Y45">
        <v>5.2402427322388999E-2</v>
      </c>
      <c r="Z45" s="15">
        <v>0.95822930920561533</v>
      </c>
      <c r="AA45">
        <v>-2.5262320069958873E-2</v>
      </c>
      <c r="AB45">
        <v>2.6646769350647869E-2</v>
      </c>
      <c r="AC45">
        <v>-2.5262320069958873E-2</v>
      </c>
      <c r="AD45">
        <v>2.6646769350647869E-2</v>
      </c>
    </row>
    <row r="46" spans="1:30" x14ac:dyDescent="0.3">
      <c r="A46">
        <v>0.12744</v>
      </c>
      <c r="B46">
        <v>0</v>
      </c>
      <c r="C46">
        <v>6.91</v>
      </c>
      <c r="D46">
        <v>0</v>
      </c>
      <c r="E46">
        <v>0.44800000000000001</v>
      </c>
      <c r="F46">
        <v>6.77</v>
      </c>
      <c r="G46">
        <v>2.9</v>
      </c>
      <c r="H46">
        <v>5.7209000000000003</v>
      </c>
      <c r="I46">
        <v>3</v>
      </c>
      <c r="J46">
        <v>233</v>
      </c>
      <c r="K46">
        <v>17.899999999999999</v>
      </c>
      <c r="L46">
        <v>385.41</v>
      </c>
      <c r="M46">
        <v>4.84</v>
      </c>
      <c r="N46">
        <v>26.6</v>
      </c>
      <c r="O46">
        <f t="shared" si="0"/>
        <v>28.020564138691636</v>
      </c>
      <c r="P46">
        <f>Table1[[#This Row],[medv]]-Table1[[#This Row],[pred_medv]]</f>
        <v>-1.4205641386916348</v>
      </c>
      <c r="Q46">
        <f>IF(Table1[[#This Row],[medv]]=0, "Undefined", ABS((N46-O46)/N46))*100</f>
        <v>5.3404666868106565</v>
      </c>
      <c r="V46" s="2" t="s">
        <v>7</v>
      </c>
      <c r="W46" s="5">
        <v>-1.4755668456002526</v>
      </c>
      <c r="X46">
        <v>0.19945473465910976</v>
      </c>
      <c r="Y46">
        <v>-7.3980036027831568</v>
      </c>
      <c r="Z46" s="15">
        <v>6.0134911014379516E-13</v>
      </c>
      <c r="AA46">
        <v>-1.8674549808311305</v>
      </c>
      <c r="AB46">
        <v>-1.0836787103693748</v>
      </c>
      <c r="AC46">
        <v>-1.8674549808311305</v>
      </c>
      <c r="AD46">
        <v>-1.0836787103693748</v>
      </c>
    </row>
    <row r="47" spans="1:30" x14ac:dyDescent="0.3">
      <c r="A47">
        <v>0.14149999999999999</v>
      </c>
      <c r="B47">
        <v>0</v>
      </c>
      <c r="C47">
        <v>6.91</v>
      </c>
      <c r="D47">
        <v>0</v>
      </c>
      <c r="E47">
        <v>0.44800000000000001</v>
      </c>
      <c r="F47">
        <v>6.1689999999999996</v>
      </c>
      <c r="G47">
        <v>6.6</v>
      </c>
      <c r="H47">
        <v>5.7209000000000003</v>
      </c>
      <c r="I47">
        <v>3</v>
      </c>
      <c r="J47">
        <v>233</v>
      </c>
      <c r="K47">
        <v>17.899999999999999</v>
      </c>
      <c r="L47">
        <v>383.37</v>
      </c>
      <c r="M47">
        <v>5.81</v>
      </c>
      <c r="N47">
        <v>25.3</v>
      </c>
      <c r="O47">
        <f t="shared" si="0"/>
        <v>25.203866280479023</v>
      </c>
      <c r="P47">
        <f>Table1[[#This Row],[medv]]-Table1[[#This Row],[pred_medv]]</f>
        <v>9.6133719520977934E-2</v>
      </c>
      <c r="Q47">
        <f>IF(Table1[[#This Row],[medv]]=0, "Undefined", ABS((N47-O47)/N47))*100</f>
        <v>0.37997517597224478</v>
      </c>
      <c r="V47" s="2" t="s">
        <v>8</v>
      </c>
      <c r="W47" s="5">
        <v>0.30604947898517504</v>
      </c>
      <c r="X47">
        <v>6.6346440288520242E-2</v>
      </c>
      <c r="Y47">
        <v>4.6128997675573862</v>
      </c>
      <c r="Z47" s="15">
        <v>5.070529022685389E-6</v>
      </c>
      <c r="AA47">
        <v>0.17569216854923825</v>
      </c>
      <c r="AB47">
        <v>0.43640678942111183</v>
      </c>
      <c r="AC47">
        <v>0.17569216854923825</v>
      </c>
      <c r="AD47">
        <v>0.43640678942111183</v>
      </c>
    </row>
    <row r="48" spans="1:30" x14ac:dyDescent="0.3">
      <c r="A48">
        <v>0.15936</v>
      </c>
      <c r="B48">
        <v>0</v>
      </c>
      <c r="C48">
        <v>6.91</v>
      </c>
      <c r="D48">
        <v>0</v>
      </c>
      <c r="E48">
        <v>0.44800000000000001</v>
      </c>
      <c r="F48">
        <v>6.2110000000000003</v>
      </c>
      <c r="G48">
        <v>6.5</v>
      </c>
      <c r="H48">
        <v>5.7209000000000003</v>
      </c>
      <c r="I48">
        <v>3</v>
      </c>
      <c r="J48">
        <v>233</v>
      </c>
      <c r="K48">
        <v>17.899999999999999</v>
      </c>
      <c r="L48">
        <v>394.46</v>
      </c>
      <c r="M48">
        <v>7.44</v>
      </c>
      <c r="N48">
        <v>24.7</v>
      </c>
      <c r="O48">
        <f t="shared" si="0"/>
        <v>24.609792725451939</v>
      </c>
      <c r="P48">
        <f>Table1[[#This Row],[medv]]-Table1[[#This Row],[pred_medv]]</f>
        <v>9.0207274548060212E-2</v>
      </c>
      <c r="Q48">
        <f>IF(Table1[[#This Row],[medv]]=0, "Undefined", ABS((N48-O48)/N48))*100</f>
        <v>0.36521163784639765</v>
      </c>
      <c r="V48" s="2" t="s">
        <v>9</v>
      </c>
      <c r="W48" s="5">
        <v>-1.2334593916574578E-2</v>
      </c>
      <c r="X48">
        <v>3.7605364462679224E-3</v>
      </c>
      <c r="Y48">
        <v>-3.2800091404022496</v>
      </c>
      <c r="Z48" s="15">
        <v>1.1116367236889239E-3</v>
      </c>
      <c r="AA48">
        <v>-1.9723285982042069E-2</v>
      </c>
      <c r="AB48">
        <v>-4.9459018511070875E-3</v>
      </c>
      <c r="AC48">
        <v>-1.9723285982042069E-2</v>
      </c>
      <c r="AD48">
        <v>-4.9459018511070875E-3</v>
      </c>
    </row>
    <row r="49" spans="1:30" x14ac:dyDescent="0.3">
      <c r="A49">
        <v>0.12268999999999999</v>
      </c>
      <c r="B49">
        <v>0</v>
      </c>
      <c r="C49">
        <v>6.91</v>
      </c>
      <c r="D49">
        <v>0</v>
      </c>
      <c r="E49">
        <v>0.44800000000000001</v>
      </c>
      <c r="F49">
        <v>6.069</v>
      </c>
      <c r="G49">
        <v>40</v>
      </c>
      <c r="H49">
        <v>5.7209000000000003</v>
      </c>
      <c r="I49">
        <v>3</v>
      </c>
      <c r="J49">
        <v>233</v>
      </c>
      <c r="K49">
        <v>17.899999999999999</v>
      </c>
      <c r="L49">
        <v>389.39</v>
      </c>
      <c r="M49">
        <v>9.5500000000000007</v>
      </c>
      <c r="N49">
        <v>21.2</v>
      </c>
      <c r="O49">
        <f t="shared" si="0"/>
        <v>22.941491756555227</v>
      </c>
      <c r="P49">
        <f>Table1[[#This Row],[medv]]-Table1[[#This Row],[pred_medv]]</f>
        <v>-1.7414917565552273</v>
      </c>
      <c r="Q49">
        <f>IF(Table1[[#This Row],[medv]]=0, "Undefined", ABS((N49-O49)/N49))*100</f>
        <v>8.2145837573359781</v>
      </c>
      <c r="V49" s="2" t="s">
        <v>10</v>
      </c>
      <c r="W49" s="5">
        <v>-0.95274723170729014</v>
      </c>
      <c r="X49">
        <v>0.13082675587501996</v>
      </c>
      <c r="Y49">
        <v>-7.2825105639511429</v>
      </c>
      <c r="Z49" s="15">
        <v>1.3088351338960713E-12</v>
      </c>
      <c r="AA49">
        <v>-1.2097952956993132</v>
      </c>
      <c r="AB49">
        <v>-0.69569916771526696</v>
      </c>
      <c r="AC49">
        <v>-1.2097952956993132</v>
      </c>
      <c r="AD49">
        <v>-0.69569916771526696</v>
      </c>
    </row>
    <row r="50" spans="1:30" x14ac:dyDescent="0.3">
      <c r="A50">
        <v>0.17141999999999999</v>
      </c>
      <c r="B50">
        <v>0</v>
      </c>
      <c r="C50">
        <v>6.91</v>
      </c>
      <c r="D50">
        <v>0</v>
      </c>
      <c r="E50">
        <v>0.44800000000000001</v>
      </c>
      <c r="F50">
        <v>5.6820000000000004</v>
      </c>
      <c r="G50">
        <v>33.799999999999997</v>
      </c>
      <c r="H50">
        <v>5.1003999999999996</v>
      </c>
      <c r="I50">
        <v>3</v>
      </c>
      <c r="J50">
        <v>233</v>
      </c>
      <c r="K50">
        <v>17.899999999999999</v>
      </c>
      <c r="L50">
        <v>396.9</v>
      </c>
      <c r="M50">
        <v>10.210000000000001</v>
      </c>
      <c r="N50">
        <v>19.3</v>
      </c>
      <c r="O50">
        <f t="shared" si="0"/>
        <v>22.096698174979068</v>
      </c>
      <c r="P50">
        <f>Table1[[#This Row],[medv]]-Table1[[#This Row],[pred_medv]]</f>
        <v>-2.7966981749790669</v>
      </c>
      <c r="Q50">
        <f>IF(Table1[[#This Row],[medv]]=0, "Undefined", ABS((N50-O50)/N50))*100</f>
        <v>14.49066411906252</v>
      </c>
      <c r="V50" s="2" t="s">
        <v>11</v>
      </c>
      <c r="W50" s="5">
        <v>9.3116832737938516E-3</v>
      </c>
      <c r="X50">
        <v>2.685964942428727E-3</v>
      </c>
      <c r="Y50">
        <v>3.4667925581239936</v>
      </c>
      <c r="Z50" s="15">
        <v>5.7285916718407886E-4</v>
      </c>
      <c r="AA50">
        <v>4.0343064575306935E-3</v>
      </c>
      <c r="AB50">
        <v>1.458906009005701E-2</v>
      </c>
      <c r="AC50">
        <v>4.0343064575306935E-3</v>
      </c>
      <c r="AD50">
        <v>1.458906009005701E-2</v>
      </c>
    </row>
    <row r="51" spans="1:30" ht="15" thickBot="1" x14ac:dyDescent="0.35">
      <c r="A51">
        <v>0.18836</v>
      </c>
      <c r="B51">
        <v>0</v>
      </c>
      <c r="C51">
        <v>6.91</v>
      </c>
      <c r="D51">
        <v>0</v>
      </c>
      <c r="E51">
        <v>0.44800000000000001</v>
      </c>
      <c r="F51">
        <v>5.7859999999999996</v>
      </c>
      <c r="G51">
        <v>33.299999999999997</v>
      </c>
      <c r="H51">
        <v>5.1003999999999996</v>
      </c>
      <c r="I51">
        <v>3</v>
      </c>
      <c r="J51">
        <v>233</v>
      </c>
      <c r="K51">
        <v>17.899999999999999</v>
      </c>
      <c r="L51">
        <v>396.9</v>
      </c>
      <c r="M51">
        <v>14.15</v>
      </c>
      <c r="N51">
        <v>20</v>
      </c>
      <c r="O51">
        <f t="shared" si="0"/>
        <v>20.423200323014665</v>
      </c>
      <c r="P51">
        <f>Table1[[#This Row],[medv]]-Table1[[#This Row],[pred_medv]]</f>
        <v>-0.42320032301466526</v>
      </c>
      <c r="Q51">
        <f>IF(Table1[[#This Row],[medv]]=0, "Undefined", ABS((N51-O51)/N51))*100</f>
        <v>2.1160016150733263</v>
      </c>
      <c r="V51" s="11" t="s">
        <v>12</v>
      </c>
      <c r="W51" s="6">
        <v>-0.52475837785548896</v>
      </c>
      <c r="X51" s="3">
        <v>5.0715278202478439E-2</v>
      </c>
      <c r="Y51" s="3">
        <v>-10.347145800135712</v>
      </c>
      <c r="Z51" s="16">
        <v>7.7769117720431168E-23</v>
      </c>
      <c r="AA51" s="3">
        <v>-0.62440362235897262</v>
      </c>
      <c r="AB51" s="3">
        <v>-0.42511313335200529</v>
      </c>
      <c r="AC51" s="3">
        <v>-0.62440362235897262</v>
      </c>
      <c r="AD51" s="3">
        <v>-0.42511313335200529</v>
      </c>
    </row>
    <row r="52" spans="1:30" x14ac:dyDescent="0.3">
      <c r="A52">
        <v>0.22927</v>
      </c>
      <c r="B52">
        <v>0</v>
      </c>
      <c r="C52">
        <v>6.91</v>
      </c>
      <c r="D52">
        <v>0</v>
      </c>
      <c r="E52">
        <v>0.44800000000000001</v>
      </c>
      <c r="F52">
        <v>6.03</v>
      </c>
      <c r="G52">
        <v>85.5</v>
      </c>
      <c r="H52">
        <v>5.6894</v>
      </c>
      <c r="I52">
        <v>3</v>
      </c>
      <c r="J52">
        <v>233</v>
      </c>
      <c r="K52">
        <v>17.899999999999999</v>
      </c>
      <c r="L52">
        <v>392.74</v>
      </c>
      <c r="M52">
        <v>18.8</v>
      </c>
      <c r="N52">
        <v>16.600000000000001</v>
      </c>
      <c r="O52">
        <f t="shared" si="0"/>
        <v>18.036550883547442</v>
      </c>
      <c r="P52">
        <f>Table1[[#This Row],[medv]]-Table1[[#This Row],[pred_medv]]</f>
        <v>-1.4365508835474401</v>
      </c>
      <c r="Q52">
        <f>IF(Table1[[#This Row],[medv]]=0, "Undefined", ABS((N52-O52)/N52))*100</f>
        <v>8.6539209852255432</v>
      </c>
    </row>
    <row r="53" spans="1:30" x14ac:dyDescent="0.3">
      <c r="A53">
        <v>0.25386999999999998</v>
      </c>
      <c r="B53">
        <v>0</v>
      </c>
      <c r="C53">
        <v>6.91</v>
      </c>
      <c r="D53">
        <v>0</v>
      </c>
      <c r="E53">
        <v>0.44800000000000001</v>
      </c>
      <c r="F53">
        <v>5.399</v>
      </c>
      <c r="G53">
        <v>95.3</v>
      </c>
      <c r="H53">
        <v>5.87</v>
      </c>
      <c r="I53">
        <v>3</v>
      </c>
      <c r="J53">
        <v>233</v>
      </c>
      <c r="K53">
        <v>17.899999999999999</v>
      </c>
      <c r="L53">
        <v>396.9</v>
      </c>
      <c r="M53">
        <v>30.81</v>
      </c>
      <c r="N53">
        <v>14.4</v>
      </c>
      <c r="O53">
        <f t="shared" si="0"/>
        <v>9.106553772182572</v>
      </c>
      <c r="P53">
        <f>Table1[[#This Row],[medv]]-Table1[[#This Row],[pred_medv]]</f>
        <v>5.2934462278174284</v>
      </c>
      <c r="Q53">
        <f>IF(Table1[[#This Row],[medv]]=0, "Undefined", ABS((N53-O53)/N53))*100</f>
        <v>36.760043248732138</v>
      </c>
    </row>
    <row r="54" spans="1:30" x14ac:dyDescent="0.3">
      <c r="A54">
        <v>0.21976999999999999</v>
      </c>
      <c r="B54">
        <v>0</v>
      </c>
      <c r="C54">
        <v>6.91</v>
      </c>
      <c r="D54">
        <v>0</v>
      </c>
      <c r="E54">
        <v>0.44800000000000001</v>
      </c>
      <c r="F54">
        <v>5.6020000000000003</v>
      </c>
      <c r="G54">
        <v>62</v>
      </c>
      <c r="H54">
        <v>6.0876999999999999</v>
      </c>
      <c r="I54">
        <v>3</v>
      </c>
      <c r="J54">
        <v>233</v>
      </c>
      <c r="K54">
        <v>17.899999999999999</v>
      </c>
      <c r="L54">
        <v>396.9</v>
      </c>
      <c r="M54">
        <v>16.2</v>
      </c>
      <c r="N54">
        <v>19.399999999999999</v>
      </c>
      <c r="O54">
        <f t="shared" si="0"/>
        <v>17.206077514125127</v>
      </c>
      <c r="P54">
        <f>Table1[[#This Row],[medv]]-Table1[[#This Row],[pred_medv]]</f>
        <v>2.1939224858748716</v>
      </c>
      <c r="Q54">
        <f>IF(Table1[[#This Row],[medv]]=0, "Undefined", ABS((N54-O54)/N54))*100</f>
        <v>11.308878793169443</v>
      </c>
    </row>
    <row r="55" spans="1:30" x14ac:dyDescent="0.3">
      <c r="A55">
        <v>8.8730000000000003E-2</v>
      </c>
      <c r="B55">
        <v>21</v>
      </c>
      <c r="C55">
        <v>5.64</v>
      </c>
      <c r="D55">
        <v>0</v>
      </c>
      <c r="E55">
        <v>0.439</v>
      </c>
      <c r="F55">
        <v>5.9630000000000001</v>
      </c>
      <c r="G55">
        <v>45.7</v>
      </c>
      <c r="H55">
        <v>6.8147000000000002</v>
      </c>
      <c r="I55">
        <v>4</v>
      </c>
      <c r="J55">
        <v>243</v>
      </c>
      <c r="K55">
        <v>16.8</v>
      </c>
      <c r="L55">
        <v>395.56</v>
      </c>
      <c r="M55">
        <v>13.45</v>
      </c>
      <c r="N55">
        <v>19.7</v>
      </c>
      <c r="O55">
        <f t="shared" si="0"/>
        <v>21.281525353211368</v>
      </c>
      <c r="P55">
        <f>Table1[[#This Row],[medv]]-Table1[[#This Row],[pred_medv]]</f>
        <v>-1.5815253532113687</v>
      </c>
      <c r="Q55">
        <f>IF(Table1[[#This Row],[medv]]=0, "Undefined", ABS((N55-O55)/N55))*100</f>
        <v>8.0280474782302971</v>
      </c>
      <c r="V55" t="s">
        <v>59</v>
      </c>
    </row>
    <row r="56" spans="1:30" ht="15" thickBot="1" x14ac:dyDescent="0.35">
      <c r="A56">
        <v>4.3369999999999999E-2</v>
      </c>
      <c r="B56">
        <v>21</v>
      </c>
      <c r="C56">
        <v>5.64</v>
      </c>
      <c r="D56">
        <v>0</v>
      </c>
      <c r="E56">
        <v>0.439</v>
      </c>
      <c r="F56">
        <v>6.1150000000000002</v>
      </c>
      <c r="G56">
        <v>63</v>
      </c>
      <c r="H56">
        <v>6.8147000000000002</v>
      </c>
      <c r="I56">
        <v>4</v>
      </c>
      <c r="J56">
        <v>243</v>
      </c>
      <c r="K56">
        <v>16.8</v>
      </c>
      <c r="L56">
        <v>393.97</v>
      </c>
      <c r="M56">
        <v>9.43</v>
      </c>
      <c r="N56">
        <v>20.5</v>
      </c>
      <c r="O56">
        <f t="shared" si="0"/>
        <v>23.972222848689544</v>
      </c>
      <c r="P56">
        <f>Table1[[#This Row],[medv]]-Table1[[#This Row],[pred_medv]]</f>
        <v>-3.4722228486895439</v>
      </c>
      <c r="Q56">
        <f>IF(Table1[[#This Row],[medv]]=0, "Undefined", ABS((N56-O56)/N56))*100</f>
        <v>16.937672432631924</v>
      </c>
    </row>
    <row r="57" spans="1:30" x14ac:dyDescent="0.3">
      <c r="A57">
        <v>5.3600000000000002E-2</v>
      </c>
      <c r="B57">
        <v>21</v>
      </c>
      <c r="C57">
        <v>5.64</v>
      </c>
      <c r="D57">
        <v>0</v>
      </c>
      <c r="E57">
        <v>0.439</v>
      </c>
      <c r="F57">
        <v>6.5110000000000001</v>
      </c>
      <c r="G57">
        <v>21.1</v>
      </c>
      <c r="H57">
        <v>6.8147000000000002</v>
      </c>
      <c r="I57">
        <v>4</v>
      </c>
      <c r="J57">
        <v>243</v>
      </c>
      <c r="K57">
        <v>16.8</v>
      </c>
      <c r="L57">
        <v>396.9</v>
      </c>
      <c r="M57">
        <v>5.28</v>
      </c>
      <c r="N57">
        <v>25</v>
      </c>
      <c r="O57">
        <f t="shared" si="0"/>
        <v>27.65585080205738</v>
      </c>
      <c r="P57">
        <f>Table1[[#This Row],[medv]]-Table1[[#This Row],[pred_medv]]</f>
        <v>-2.6558508020573797</v>
      </c>
      <c r="Q57">
        <f>IF(Table1[[#This Row],[medv]]=0, "Undefined", ABS((N57-O57)/N57))*100</f>
        <v>10.623403208229519</v>
      </c>
      <c r="V57" s="4" t="s">
        <v>60</v>
      </c>
      <c r="W57" s="4" t="s">
        <v>61</v>
      </c>
      <c r="X57" s="4" t="s">
        <v>62</v>
      </c>
    </row>
    <row r="58" spans="1:30" x14ac:dyDescent="0.3">
      <c r="A58">
        <v>4.981E-2</v>
      </c>
      <c r="B58">
        <v>21</v>
      </c>
      <c r="C58">
        <v>5.64</v>
      </c>
      <c r="D58">
        <v>0</v>
      </c>
      <c r="E58">
        <v>0.439</v>
      </c>
      <c r="F58">
        <v>5.9980000000000002</v>
      </c>
      <c r="G58">
        <v>21.4</v>
      </c>
      <c r="H58">
        <v>6.8147000000000002</v>
      </c>
      <c r="I58">
        <v>4</v>
      </c>
      <c r="J58">
        <v>243</v>
      </c>
      <c r="K58">
        <v>16.8</v>
      </c>
      <c r="L58">
        <v>396.9</v>
      </c>
      <c r="M58">
        <v>8.43</v>
      </c>
      <c r="N58">
        <v>23.4</v>
      </c>
      <c r="O58">
        <f t="shared" si="0"/>
        <v>24.049018091157762</v>
      </c>
      <c r="P58">
        <f>Table1[[#This Row],[medv]]-Table1[[#This Row],[pred_medv]]</f>
        <v>-0.64901809115776388</v>
      </c>
      <c r="Q58">
        <f>IF(Table1[[#This Row],[medv]]=0, "Undefined", ABS((N58-O58)/N58))*100</f>
        <v>2.7735815861442905</v>
      </c>
      <c r="V58">
        <v>1</v>
      </c>
      <c r="W58">
        <v>30.003843377016782</v>
      </c>
      <c r="X58">
        <v>-6.0038433770167821</v>
      </c>
    </row>
    <row r="59" spans="1:30" x14ac:dyDescent="0.3">
      <c r="A59">
        <v>1.3599999999999999E-2</v>
      </c>
      <c r="B59">
        <v>75</v>
      </c>
      <c r="C59">
        <v>4</v>
      </c>
      <c r="D59">
        <v>0</v>
      </c>
      <c r="E59">
        <v>0.41</v>
      </c>
      <c r="F59">
        <v>5.8879999999999999</v>
      </c>
      <c r="G59">
        <v>47.6</v>
      </c>
      <c r="H59">
        <v>7.3197000000000001</v>
      </c>
      <c r="I59">
        <v>3</v>
      </c>
      <c r="J59">
        <v>469</v>
      </c>
      <c r="K59">
        <v>21.1</v>
      </c>
      <c r="L59">
        <v>396.9</v>
      </c>
      <c r="M59">
        <v>14.8</v>
      </c>
      <c r="N59">
        <v>18.899999999999999</v>
      </c>
      <c r="O59">
        <f t="shared" si="0"/>
        <v>15.361847701003374</v>
      </c>
      <c r="P59">
        <f>Table1[[#This Row],[medv]]-Table1[[#This Row],[pred_medv]]</f>
        <v>3.538152298996625</v>
      </c>
      <c r="Q59">
        <f>IF(Table1[[#This Row],[medv]]=0, "Undefined", ABS((N59-O59)/N59))*100</f>
        <v>18.720382534373677</v>
      </c>
      <c r="V59">
        <v>2</v>
      </c>
      <c r="W59">
        <v>25.025562379053177</v>
      </c>
      <c r="X59">
        <v>-3.4255623790531757</v>
      </c>
    </row>
    <row r="60" spans="1:30" x14ac:dyDescent="0.3">
      <c r="A60">
        <v>1.311E-2</v>
      </c>
      <c r="B60">
        <v>90</v>
      </c>
      <c r="C60">
        <v>1.22</v>
      </c>
      <c r="D60">
        <v>0</v>
      </c>
      <c r="E60">
        <v>0.40300000000000002</v>
      </c>
      <c r="F60">
        <v>7.2489999999999997</v>
      </c>
      <c r="G60">
        <v>21.9</v>
      </c>
      <c r="H60">
        <v>8.6966000000000001</v>
      </c>
      <c r="I60">
        <v>5</v>
      </c>
      <c r="J60">
        <v>226</v>
      </c>
      <c r="K60">
        <v>17.899999999999999</v>
      </c>
      <c r="L60">
        <v>395.93</v>
      </c>
      <c r="M60">
        <v>4.8099999999999996</v>
      </c>
      <c r="N60">
        <v>35.4</v>
      </c>
      <c r="O60">
        <f t="shared" si="0"/>
        <v>31.152649466035129</v>
      </c>
      <c r="P60">
        <f>Table1[[#This Row],[medv]]-Table1[[#This Row],[pred_medv]]</f>
        <v>4.2473505339648696</v>
      </c>
      <c r="Q60">
        <f>IF(Table1[[#This Row],[medv]]=0, "Undefined", ABS((N60-O60)/N60))*100</f>
        <v>11.998165350183248</v>
      </c>
      <c r="V60">
        <v>3</v>
      </c>
      <c r="W60">
        <v>30.567596718601646</v>
      </c>
      <c r="X60">
        <v>4.1324032813983571</v>
      </c>
    </row>
    <row r="61" spans="1:30" x14ac:dyDescent="0.3">
      <c r="A61">
        <v>2.0549999999999999E-2</v>
      </c>
      <c r="B61">
        <v>85</v>
      </c>
      <c r="C61">
        <v>0.74</v>
      </c>
      <c r="D61">
        <v>0</v>
      </c>
      <c r="E61">
        <v>0.41</v>
      </c>
      <c r="F61">
        <v>6.383</v>
      </c>
      <c r="G61">
        <v>35.700000000000003</v>
      </c>
      <c r="H61">
        <v>9.1875999999999998</v>
      </c>
      <c r="I61">
        <v>2</v>
      </c>
      <c r="J61">
        <v>313</v>
      </c>
      <c r="K61">
        <v>17.3</v>
      </c>
      <c r="L61">
        <v>396.9</v>
      </c>
      <c r="M61">
        <v>5.77</v>
      </c>
      <c r="N61">
        <v>24.7</v>
      </c>
      <c r="O61">
        <f t="shared" si="0"/>
        <v>24.856869781555535</v>
      </c>
      <c r="P61">
        <f>Table1[[#This Row],[medv]]-Table1[[#This Row],[pred_medv]]</f>
        <v>-0.15686978155553533</v>
      </c>
      <c r="Q61">
        <f>IF(Table1[[#This Row],[medv]]=0, "Undefined", ABS((N61-O61)/N61))*100</f>
        <v>0.63510033018435352</v>
      </c>
      <c r="V61">
        <v>4</v>
      </c>
      <c r="W61">
        <v>28.607036488728138</v>
      </c>
      <c r="X61">
        <v>4.7929635112718607</v>
      </c>
    </row>
    <row r="62" spans="1:30" x14ac:dyDescent="0.3">
      <c r="A62">
        <v>1.4319999999999999E-2</v>
      </c>
      <c r="B62">
        <v>100</v>
      </c>
      <c r="C62">
        <v>1.32</v>
      </c>
      <c r="D62">
        <v>0</v>
      </c>
      <c r="E62">
        <v>0.41099999999999998</v>
      </c>
      <c r="F62">
        <v>6.8159999999999998</v>
      </c>
      <c r="G62">
        <v>40.5</v>
      </c>
      <c r="H62">
        <v>8.3247999999999998</v>
      </c>
      <c r="I62">
        <v>5</v>
      </c>
      <c r="J62">
        <v>256</v>
      </c>
      <c r="K62">
        <v>15.1</v>
      </c>
      <c r="L62">
        <v>392.9</v>
      </c>
      <c r="M62">
        <v>3.95</v>
      </c>
      <c r="N62">
        <v>31.6</v>
      </c>
      <c r="O62">
        <f t="shared" si="0"/>
        <v>33.109198061646751</v>
      </c>
      <c r="P62">
        <f>Table1[[#This Row],[medv]]-Table1[[#This Row],[pred_medv]]</f>
        <v>-1.5091980616467495</v>
      </c>
      <c r="Q62">
        <f>IF(Table1[[#This Row],[medv]]=0, "Undefined", ABS((N62-O62)/N62))*100</f>
        <v>4.7759432330593334</v>
      </c>
      <c r="V62">
        <v>5</v>
      </c>
      <c r="W62">
        <v>27.943524232873042</v>
      </c>
      <c r="X62">
        <v>8.2564757671269611</v>
      </c>
    </row>
    <row r="63" spans="1:30" x14ac:dyDescent="0.3">
      <c r="A63">
        <v>0.15445</v>
      </c>
      <c r="B63">
        <v>25</v>
      </c>
      <c r="C63">
        <v>5.13</v>
      </c>
      <c r="D63">
        <v>0</v>
      </c>
      <c r="E63">
        <v>0.45300000000000001</v>
      </c>
      <c r="F63">
        <v>6.1449999999999996</v>
      </c>
      <c r="G63">
        <v>29.2</v>
      </c>
      <c r="H63">
        <v>7.8148</v>
      </c>
      <c r="I63">
        <v>8</v>
      </c>
      <c r="J63">
        <v>284</v>
      </c>
      <c r="K63">
        <v>19.7</v>
      </c>
      <c r="L63">
        <v>390.68</v>
      </c>
      <c r="M63">
        <v>6.86</v>
      </c>
      <c r="N63">
        <v>23.3</v>
      </c>
      <c r="O63">
        <f t="shared" si="0"/>
        <v>21.775379871488791</v>
      </c>
      <c r="P63">
        <f>Table1[[#This Row],[medv]]-Table1[[#This Row],[pred_medv]]</f>
        <v>1.5246201285112093</v>
      </c>
      <c r="Q63">
        <f>IF(Table1[[#This Row],[medv]]=0, "Undefined", ABS((N63-O63)/N63))*100</f>
        <v>6.5434340279451035</v>
      </c>
      <c r="V63">
        <v>6</v>
      </c>
      <c r="W63">
        <v>25.2562844615411</v>
      </c>
      <c r="X63">
        <v>3.4437155384588998</v>
      </c>
    </row>
    <row r="64" spans="1:30" x14ac:dyDescent="0.3">
      <c r="A64">
        <v>0.10328</v>
      </c>
      <c r="B64">
        <v>25</v>
      </c>
      <c r="C64">
        <v>5.13</v>
      </c>
      <c r="D64">
        <v>0</v>
      </c>
      <c r="E64">
        <v>0.45300000000000001</v>
      </c>
      <c r="F64">
        <v>5.9269999999999996</v>
      </c>
      <c r="G64">
        <v>47.2</v>
      </c>
      <c r="H64">
        <v>6.9320000000000004</v>
      </c>
      <c r="I64">
        <v>8</v>
      </c>
      <c r="J64">
        <v>284</v>
      </c>
      <c r="K64">
        <v>19.7</v>
      </c>
      <c r="L64">
        <v>396.9</v>
      </c>
      <c r="M64">
        <v>9.2200000000000006</v>
      </c>
      <c r="N64">
        <v>19.600000000000001</v>
      </c>
      <c r="O64">
        <f t="shared" si="0"/>
        <v>21.084935550631037</v>
      </c>
      <c r="P64">
        <f>Table1[[#This Row],[medv]]-Table1[[#This Row],[pred_medv]]</f>
        <v>-1.484935550631036</v>
      </c>
      <c r="Q64">
        <f>IF(Table1[[#This Row],[medv]]=0, "Undefined", ABS((N64-O64)/N64))*100</f>
        <v>7.5762017889338562</v>
      </c>
      <c r="V64">
        <v>7</v>
      </c>
      <c r="W64">
        <v>23.001808268485398</v>
      </c>
      <c r="X64">
        <v>-0.10180826848539937</v>
      </c>
    </row>
    <row r="65" spans="1:24" x14ac:dyDescent="0.3">
      <c r="A65">
        <v>0.14932000000000001</v>
      </c>
      <c r="B65">
        <v>25</v>
      </c>
      <c r="C65">
        <v>5.13</v>
      </c>
      <c r="D65">
        <v>0</v>
      </c>
      <c r="E65">
        <v>0.45300000000000001</v>
      </c>
      <c r="F65">
        <v>5.7409999999999997</v>
      </c>
      <c r="G65">
        <v>66.2</v>
      </c>
      <c r="H65">
        <v>7.2253999999999996</v>
      </c>
      <c r="I65">
        <v>8</v>
      </c>
      <c r="J65">
        <v>284</v>
      </c>
      <c r="K65">
        <v>19.7</v>
      </c>
      <c r="L65">
        <v>395.11</v>
      </c>
      <c r="M65">
        <v>13.15</v>
      </c>
      <c r="N65">
        <v>18.7</v>
      </c>
      <c r="O65">
        <f t="shared" si="0"/>
        <v>17.872580396884988</v>
      </c>
      <c r="P65">
        <f>Table1[[#This Row],[medv]]-Table1[[#This Row],[pred_medv]]</f>
        <v>0.82741960311501117</v>
      </c>
      <c r="Q65">
        <f>IF(Table1[[#This Row],[medv]]=0, "Undefined", ABS((N65-O65)/N65))*100</f>
        <v>4.4247037599733217</v>
      </c>
      <c r="V65">
        <v>8</v>
      </c>
      <c r="W65">
        <v>19.535988428756074</v>
      </c>
      <c r="X65">
        <v>7.5640115712439275</v>
      </c>
    </row>
    <row r="66" spans="1:24" x14ac:dyDescent="0.3">
      <c r="A66">
        <v>0.17171</v>
      </c>
      <c r="B66">
        <v>25</v>
      </c>
      <c r="C66">
        <v>5.13</v>
      </c>
      <c r="D66">
        <v>0</v>
      </c>
      <c r="E66">
        <v>0.45300000000000001</v>
      </c>
      <c r="F66">
        <v>5.9660000000000002</v>
      </c>
      <c r="G66">
        <v>93.4</v>
      </c>
      <c r="H66">
        <v>6.8185000000000002</v>
      </c>
      <c r="I66">
        <v>8</v>
      </c>
      <c r="J66">
        <v>284</v>
      </c>
      <c r="K66">
        <v>19.7</v>
      </c>
      <c r="L66">
        <v>378.08</v>
      </c>
      <c r="M66">
        <v>14.44</v>
      </c>
      <c r="N66">
        <v>16</v>
      </c>
      <c r="O66">
        <f t="shared" si="0"/>
        <v>18.511102080220915</v>
      </c>
      <c r="P66">
        <f>Table1[[#This Row],[medv]]-Table1[[#This Row],[pred_medv]]</f>
        <v>-2.5111020802209154</v>
      </c>
      <c r="Q66">
        <f>IF(Table1[[#This Row],[medv]]=0, "Undefined", ABS((N66-O66)/N66))*100</f>
        <v>15.694388001380721</v>
      </c>
      <c r="V66">
        <v>9</v>
      </c>
      <c r="W66">
        <v>11.523636853130471</v>
      </c>
      <c r="X66">
        <v>4.9763631468695291</v>
      </c>
    </row>
    <row r="67" spans="1:24" x14ac:dyDescent="0.3">
      <c r="A67">
        <v>0.11027000000000001</v>
      </c>
      <c r="B67">
        <v>25</v>
      </c>
      <c r="C67">
        <v>5.13</v>
      </c>
      <c r="D67">
        <v>0</v>
      </c>
      <c r="E67">
        <v>0.45300000000000001</v>
      </c>
      <c r="F67">
        <v>6.4560000000000004</v>
      </c>
      <c r="G67">
        <v>67.8</v>
      </c>
      <c r="H67">
        <v>7.2255000000000003</v>
      </c>
      <c r="I67">
        <v>8</v>
      </c>
      <c r="J67">
        <v>284</v>
      </c>
      <c r="K67">
        <v>19.7</v>
      </c>
      <c r="L67">
        <v>396.9</v>
      </c>
      <c r="M67">
        <v>6.73</v>
      </c>
      <c r="N67">
        <v>22.2</v>
      </c>
      <c r="O67">
        <f t="shared" si="0"/>
        <v>23.987428564909425</v>
      </c>
      <c r="P67">
        <f>Table1[[#This Row],[medv]]-Table1[[#This Row],[pred_medv]]</f>
        <v>-1.7874285649094261</v>
      </c>
      <c r="Q67">
        <f>IF(Table1[[#This Row],[medv]]=0, "Undefined", ABS((N67-O67)/N67))*100</f>
        <v>8.0514800221145322</v>
      </c>
      <c r="V67">
        <v>10</v>
      </c>
      <c r="W67">
        <v>18.920262107076024</v>
      </c>
      <c r="X67">
        <v>-2.026210707602516E-2</v>
      </c>
    </row>
    <row r="68" spans="1:24" x14ac:dyDescent="0.3">
      <c r="A68">
        <v>0.1265</v>
      </c>
      <c r="B68">
        <v>25</v>
      </c>
      <c r="C68">
        <v>5.13</v>
      </c>
      <c r="D68">
        <v>0</v>
      </c>
      <c r="E68">
        <v>0.45300000000000001</v>
      </c>
      <c r="F68">
        <v>6.7619999999999996</v>
      </c>
      <c r="G68">
        <v>43.4</v>
      </c>
      <c r="H68">
        <v>7.9809000000000001</v>
      </c>
      <c r="I68">
        <v>8</v>
      </c>
      <c r="J68">
        <v>284</v>
      </c>
      <c r="K68">
        <v>19.7</v>
      </c>
      <c r="L68">
        <v>395.58</v>
      </c>
      <c r="M68">
        <v>9.5</v>
      </c>
      <c r="N68">
        <v>25</v>
      </c>
      <c r="O68">
        <f t="shared" si="0"/>
        <v>22.554088688883404</v>
      </c>
      <c r="P68">
        <f>Table1[[#This Row],[medv]]-Table1[[#This Row],[pred_medv]]</f>
        <v>2.4459113111165962</v>
      </c>
      <c r="Q68">
        <f>IF(Table1[[#This Row],[medv]]=0, "Undefined", ABS((N68-O68)/N68))*100</f>
        <v>9.7836452444663848</v>
      </c>
      <c r="V68">
        <v>11</v>
      </c>
      <c r="W68">
        <v>18.999496511132563</v>
      </c>
      <c r="X68">
        <v>-3.9994965111325627</v>
      </c>
    </row>
    <row r="69" spans="1:24" x14ac:dyDescent="0.3">
      <c r="A69">
        <v>1.951E-2</v>
      </c>
      <c r="B69">
        <v>17.5</v>
      </c>
      <c r="C69">
        <v>1.38</v>
      </c>
      <c r="D69">
        <v>0</v>
      </c>
      <c r="E69">
        <v>0.41610000000000003</v>
      </c>
      <c r="F69">
        <v>7.1040000000000001</v>
      </c>
      <c r="G69">
        <v>59.5</v>
      </c>
      <c r="H69">
        <v>9.2228999999999992</v>
      </c>
      <c r="I69">
        <v>3</v>
      </c>
      <c r="J69">
        <v>216</v>
      </c>
      <c r="K69">
        <v>18.600000000000001</v>
      </c>
      <c r="L69">
        <v>393.24</v>
      </c>
      <c r="M69">
        <v>8.0500000000000007</v>
      </c>
      <c r="N69">
        <v>33</v>
      </c>
      <c r="O69">
        <f t="shared" ref="O69:O132" si="3">A$2+SUMPRODUCT(B$2:N$2, A69:M69)</f>
        <v>23.373086442266288</v>
      </c>
      <c r="P69">
        <f>Table1[[#This Row],[medv]]-Table1[[#This Row],[pred_medv]]</f>
        <v>9.6269135577337117</v>
      </c>
      <c r="Q69">
        <f>IF(Table1[[#This Row],[medv]]=0, "Undefined", ABS((N69-O69)/N69))*100</f>
        <v>29.17246532646579</v>
      </c>
      <c r="V69">
        <v>12</v>
      </c>
      <c r="W69">
        <v>21.58679568139933</v>
      </c>
      <c r="X69">
        <v>-2.6867956813993317</v>
      </c>
    </row>
    <row r="70" spans="1:24" x14ac:dyDescent="0.3">
      <c r="A70">
        <v>3.5839999999999997E-2</v>
      </c>
      <c r="B70">
        <v>80</v>
      </c>
      <c r="C70">
        <v>3.37</v>
      </c>
      <c r="D70">
        <v>0</v>
      </c>
      <c r="E70">
        <v>0.39800000000000002</v>
      </c>
      <c r="F70">
        <v>6.29</v>
      </c>
      <c r="G70">
        <v>17.8</v>
      </c>
      <c r="H70">
        <v>6.6115000000000004</v>
      </c>
      <c r="I70">
        <v>4</v>
      </c>
      <c r="J70">
        <v>337</v>
      </c>
      <c r="K70">
        <v>16.100000000000001</v>
      </c>
      <c r="L70">
        <v>396.9</v>
      </c>
      <c r="M70">
        <v>4.67</v>
      </c>
      <c r="N70">
        <v>23.5</v>
      </c>
      <c r="O70">
        <f t="shared" si="3"/>
        <v>30.361483581462544</v>
      </c>
      <c r="P70">
        <f>Table1[[#This Row],[medv]]-Table1[[#This Row],[pred_medv]]</f>
        <v>-6.8614835814625437</v>
      </c>
      <c r="Q70">
        <f>IF(Table1[[#This Row],[medv]]=0, "Undefined", ABS((N70-O70)/N70))*100</f>
        <v>29.197802474308698</v>
      </c>
      <c r="V70">
        <v>13</v>
      </c>
      <c r="W70">
        <v>20.906521527835253</v>
      </c>
      <c r="X70">
        <v>0.79347847216474676</v>
      </c>
    </row>
    <row r="71" spans="1:24" x14ac:dyDescent="0.3">
      <c r="A71">
        <v>4.3790000000000003E-2</v>
      </c>
      <c r="B71">
        <v>80</v>
      </c>
      <c r="C71">
        <v>3.37</v>
      </c>
      <c r="D71">
        <v>0</v>
      </c>
      <c r="E71">
        <v>0.39800000000000002</v>
      </c>
      <c r="F71">
        <v>5.7869999999999999</v>
      </c>
      <c r="G71">
        <v>31.1</v>
      </c>
      <c r="H71">
        <v>6.6115000000000004</v>
      </c>
      <c r="I71">
        <v>4</v>
      </c>
      <c r="J71">
        <v>337</v>
      </c>
      <c r="K71">
        <v>16.100000000000001</v>
      </c>
      <c r="L71">
        <v>396.9</v>
      </c>
      <c r="M71">
        <v>10.24</v>
      </c>
      <c r="N71">
        <v>19.399999999999999</v>
      </c>
      <c r="O71">
        <f t="shared" si="3"/>
        <v>25.530565115204219</v>
      </c>
      <c r="P71">
        <f>Table1[[#This Row],[medv]]-Table1[[#This Row],[pred_medv]]</f>
        <v>-6.1305651152042202</v>
      </c>
      <c r="Q71">
        <f>IF(Table1[[#This Row],[medv]]=0, "Undefined", ABS((N71-O71)/N71))*100</f>
        <v>31.600851109300105</v>
      </c>
      <c r="V71">
        <v>14</v>
      </c>
      <c r="W71">
        <v>19.552902810580932</v>
      </c>
      <c r="X71">
        <v>0.84709718941906686</v>
      </c>
    </row>
    <row r="72" spans="1:24" x14ac:dyDescent="0.3">
      <c r="A72">
        <v>5.7889999999999997E-2</v>
      </c>
      <c r="B72">
        <v>12.5</v>
      </c>
      <c r="C72">
        <v>6.07</v>
      </c>
      <c r="D72">
        <v>0</v>
      </c>
      <c r="E72">
        <v>0.40899999999999997</v>
      </c>
      <c r="F72">
        <v>5.8780000000000001</v>
      </c>
      <c r="G72">
        <v>21.4</v>
      </c>
      <c r="H72">
        <v>6.4980000000000002</v>
      </c>
      <c r="I72">
        <v>4</v>
      </c>
      <c r="J72">
        <v>345</v>
      </c>
      <c r="K72">
        <v>18.899999999999999</v>
      </c>
      <c r="L72">
        <v>396.21</v>
      </c>
      <c r="M72">
        <v>8.1</v>
      </c>
      <c r="N72">
        <v>22</v>
      </c>
      <c r="O72">
        <f t="shared" si="3"/>
        <v>21.113385641796778</v>
      </c>
      <c r="P72">
        <f>Table1[[#This Row],[medv]]-Table1[[#This Row],[pred_medv]]</f>
        <v>0.88661435820322154</v>
      </c>
      <c r="Q72">
        <f>IF(Table1[[#This Row],[medv]]=0, "Undefined", ABS((N72-O72)/N72))*100</f>
        <v>4.0300652645600978</v>
      </c>
      <c r="V72">
        <v>15</v>
      </c>
      <c r="W72">
        <v>19.283482050090242</v>
      </c>
      <c r="X72">
        <v>-1.0834820500902431</v>
      </c>
    </row>
    <row r="73" spans="1:24" x14ac:dyDescent="0.3">
      <c r="A73">
        <v>0.13553999999999999</v>
      </c>
      <c r="B73">
        <v>12.5</v>
      </c>
      <c r="C73">
        <v>6.07</v>
      </c>
      <c r="D73">
        <v>0</v>
      </c>
      <c r="E73">
        <v>0.40899999999999997</v>
      </c>
      <c r="F73">
        <v>5.5940000000000003</v>
      </c>
      <c r="G73">
        <v>36.799999999999997</v>
      </c>
      <c r="H73">
        <v>6.4980000000000002</v>
      </c>
      <c r="I73">
        <v>4</v>
      </c>
      <c r="J73">
        <v>345</v>
      </c>
      <c r="K73">
        <v>18.899999999999999</v>
      </c>
      <c r="L73">
        <v>396.9</v>
      </c>
      <c r="M73">
        <v>13.09</v>
      </c>
      <c r="N73">
        <v>17.399999999999999</v>
      </c>
      <c r="O73">
        <f t="shared" si="3"/>
        <v>17.421537856548266</v>
      </c>
      <c r="P73">
        <f>Table1[[#This Row],[medv]]-Table1[[#This Row],[pred_medv]]</f>
        <v>-2.1537856548267342E-2</v>
      </c>
      <c r="Q73">
        <f>IF(Table1[[#This Row],[medv]]=0, "Undefined", ABS((N73-O73)/N73))*100</f>
        <v>0.12378078476015715</v>
      </c>
      <c r="V73">
        <v>16</v>
      </c>
      <c r="W73">
        <v>19.297483208227899</v>
      </c>
      <c r="X73">
        <v>0.60251679177209994</v>
      </c>
    </row>
    <row r="74" spans="1:24" x14ac:dyDescent="0.3">
      <c r="A74">
        <v>0.12816</v>
      </c>
      <c r="B74">
        <v>12.5</v>
      </c>
      <c r="C74">
        <v>6.07</v>
      </c>
      <c r="D74">
        <v>0</v>
      </c>
      <c r="E74">
        <v>0.40899999999999997</v>
      </c>
      <c r="F74">
        <v>5.8849999999999998</v>
      </c>
      <c r="G74">
        <v>33</v>
      </c>
      <c r="H74">
        <v>6.4980000000000002</v>
      </c>
      <c r="I74">
        <v>4</v>
      </c>
      <c r="J74">
        <v>345</v>
      </c>
      <c r="K74">
        <v>18.899999999999999</v>
      </c>
      <c r="L74">
        <v>396.9</v>
      </c>
      <c r="M74">
        <v>8.7899999999999991</v>
      </c>
      <c r="N74">
        <v>20.9</v>
      </c>
      <c r="O74">
        <f t="shared" si="3"/>
        <v>20.784836326695874</v>
      </c>
      <c r="P74">
        <f>Table1[[#This Row],[medv]]-Table1[[#This Row],[pred_medv]]</f>
        <v>0.11516367330412436</v>
      </c>
      <c r="Q74">
        <f>IF(Table1[[#This Row],[medv]]=0, "Undefined", ABS((N74-O74)/N74))*100</f>
        <v>0.55102236030681517</v>
      </c>
      <c r="V74">
        <v>17</v>
      </c>
      <c r="W74">
        <v>20.527509791162256</v>
      </c>
      <c r="X74">
        <v>2.5724902088377455</v>
      </c>
    </row>
    <row r="75" spans="1:24" x14ac:dyDescent="0.3">
      <c r="A75">
        <v>8.8260000000000005E-2</v>
      </c>
      <c r="B75">
        <v>0</v>
      </c>
      <c r="C75">
        <v>10.81</v>
      </c>
      <c r="D75">
        <v>0</v>
      </c>
      <c r="E75">
        <v>0.41299999999999998</v>
      </c>
      <c r="F75">
        <v>6.4169999999999998</v>
      </c>
      <c r="G75">
        <v>6.6</v>
      </c>
      <c r="H75">
        <v>5.2873000000000001</v>
      </c>
      <c r="I75">
        <v>4</v>
      </c>
      <c r="J75">
        <v>305</v>
      </c>
      <c r="K75">
        <v>19.2</v>
      </c>
      <c r="L75">
        <v>383.73</v>
      </c>
      <c r="M75">
        <v>6.72</v>
      </c>
      <c r="N75">
        <v>24.2</v>
      </c>
      <c r="O75">
        <f t="shared" si="3"/>
        <v>25.201488594435691</v>
      </c>
      <c r="P75">
        <f>Table1[[#This Row],[medv]]-Table1[[#This Row],[pred_medv]]</f>
        <v>-1.0014885944356919</v>
      </c>
      <c r="Q75">
        <f>IF(Table1[[#This Row],[medv]]=0, "Undefined", ABS((N75-O75)/N75))*100</f>
        <v>4.138382621635091</v>
      </c>
      <c r="V75">
        <v>18</v>
      </c>
      <c r="W75">
        <v>16.911401346797831</v>
      </c>
      <c r="X75">
        <v>0.58859865320216898</v>
      </c>
    </row>
    <row r="76" spans="1:24" x14ac:dyDescent="0.3">
      <c r="A76">
        <v>0.15876000000000001</v>
      </c>
      <c r="B76">
        <v>0</v>
      </c>
      <c r="C76">
        <v>10.81</v>
      </c>
      <c r="D76">
        <v>0</v>
      </c>
      <c r="E76">
        <v>0.41299999999999998</v>
      </c>
      <c r="F76">
        <v>5.9610000000000003</v>
      </c>
      <c r="G76">
        <v>17.5</v>
      </c>
      <c r="H76">
        <v>5.2873000000000001</v>
      </c>
      <c r="I76">
        <v>4</v>
      </c>
      <c r="J76">
        <v>305</v>
      </c>
      <c r="K76">
        <v>19.2</v>
      </c>
      <c r="L76">
        <v>376.94</v>
      </c>
      <c r="M76">
        <v>9.8800000000000008</v>
      </c>
      <c r="N76">
        <v>21.7</v>
      </c>
      <c r="O76">
        <f t="shared" si="3"/>
        <v>21.742657704530551</v>
      </c>
      <c r="P76">
        <f>Table1[[#This Row],[medv]]-Table1[[#This Row],[pred_medv]]</f>
        <v>-4.2657704530551399E-2</v>
      </c>
      <c r="Q76">
        <f>IF(Table1[[#This Row],[medv]]=0, "Undefined", ABS((N76-O76)/N76))*100</f>
        <v>0.19657928355092813</v>
      </c>
      <c r="V76">
        <v>19</v>
      </c>
      <c r="W76">
        <v>16.178011056571847</v>
      </c>
      <c r="X76">
        <v>4.0219889434281519</v>
      </c>
    </row>
    <row r="77" spans="1:24" x14ac:dyDescent="0.3">
      <c r="A77">
        <v>9.1639999999999999E-2</v>
      </c>
      <c r="B77">
        <v>0</v>
      </c>
      <c r="C77">
        <v>10.81</v>
      </c>
      <c r="D77">
        <v>0</v>
      </c>
      <c r="E77">
        <v>0.41299999999999998</v>
      </c>
      <c r="F77">
        <v>6.0650000000000004</v>
      </c>
      <c r="G77">
        <v>7.8</v>
      </c>
      <c r="H77">
        <v>5.2873000000000001</v>
      </c>
      <c r="I77">
        <v>4</v>
      </c>
      <c r="J77">
        <v>305</v>
      </c>
      <c r="K77">
        <v>19.2</v>
      </c>
      <c r="L77">
        <v>390.91</v>
      </c>
      <c r="M77">
        <v>5.52</v>
      </c>
      <c r="N77">
        <v>22.8</v>
      </c>
      <c r="O77">
        <f t="shared" si="3"/>
        <v>24.557449572150205</v>
      </c>
      <c r="P77">
        <f>Table1[[#This Row],[medv]]-Table1[[#This Row],[pred_medv]]</f>
        <v>-1.7574495721502039</v>
      </c>
      <c r="Q77">
        <f>IF(Table1[[#This Row],[medv]]=0, "Undefined", ABS((N77-O77)/N77))*100</f>
        <v>7.7081121585535257</v>
      </c>
      <c r="V77">
        <v>20</v>
      </c>
      <c r="W77">
        <v>18.406136033332473</v>
      </c>
      <c r="X77">
        <v>-0.20613603333247354</v>
      </c>
    </row>
    <row r="78" spans="1:24" x14ac:dyDescent="0.3">
      <c r="A78">
        <v>0.19539000000000001</v>
      </c>
      <c r="B78">
        <v>0</v>
      </c>
      <c r="C78">
        <v>10.81</v>
      </c>
      <c r="D78">
        <v>0</v>
      </c>
      <c r="E78">
        <v>0.41299999999999998</v>
      </c>
      <c r="F78">
        <v>6.2450000000000001</v>
      </c>
      <c r="G78">
        <v>6.2</v>
      </c>
      <c r="H78">
        <v>5.2873000000000001</v>
      </c>
      <c r="I78">
        <v>4</v>
      </c>
      <c r="J78">
        <v>305</v>
      </c>
      <c r="K78">
        <v>19.2</v>
      </c>
      <c r="L78">
        <v>377.17</v>
      </c>
      <c r="M78">
        <v>7.54</v>
      </c>
      <c r="N78">
        <v>23.4</v>
      </c>
      <c r="O78">
        <f t="shared" si="3"/>
        <v>24.042957120125727</v>
      </c>
      <c r="P78">
        <f>Table1[[#This Row],[medv]]-Table1[[#This Row],[pred_medv]]</f>
        <v>-0.64295712012572892</v>
      </c>
      <c r="Q78">
        <f>IF(Table1[[#This Row],[medv]]=0, "Undefined", ABS((N78-O78)/N78))*100</f>
        <v>2.747680000537303</v>
      </c>
      <c r="V78">
        <v>21</v>
      </c>
      <c r="W78">
        <v>12.523857527095251</v>
      </c>
      <c r="X78">
        <v>1.0761424729047491</v>
      </c>
    </row>
    <row r="79" spans="1:24" x14ac:dyDescent="0.3">
      <c r="A79">
        <v>7.8960000000000002E-2</v>
      </c>
      <c r="B79">
        <v>0</v>
      </c>
      <c r="C79">
        <v>12.83</v>
      </c>
      <c r="D79">
        <v>0</v>
      </c>
      <c r="E79">
        <v>0.437</v>
      </c>
      <c r="F79">
        <v>6.2729999999999997</v>
      </c>
      <c r="G79">
        <v>6</v>
      </c>
      <c r="H79">
        <v>4.2515000000000001</v>
      </c>
      <c r="I79">
        <v>5</v>
      </c>
      <c r="J79">
        <v>398</v>
      </c>
      <c r="K79">
        <v>18.7</v>
      </c>
      <c r="L79">
        <v>394.92</v>
      </c>
      <c r="M79">
        <v>6.78</v>
      </c>
      <c r="N79">
        <v>24.1</v>
      </c>
      <c r="O79">
        <f t="shared" si="3"/>
        <v>25.504997163713675</v>
      </c>
      <c r="P79">
        <f>Table1[[#This Row],[medv]]-Table1[[#This Row],[pred_medv]]</f>
        <v>-1.4049971637136736</v>
      </c>
      <c r="Q79">
        <f>IF(Table1[[#This Row],[medv]]=0, "Undefined", ABS((N79-O79)/N79))*100</f>
        <v>5.8298637498492676</v>
      </c>
      <c r="V79">
        <v>22</v>
      </c>
      <c r="W79">
        <v>17.671036694915088</v>
      </c>
      <c r="X79">
        <v>1.9289633050849133</v>
      </c>
    </row>
    <row r="80" spans="1:24" x14ac:dyDescent="0.3">
      <c r="A80">
        <v>9.5119999999999996E-2</v>
      </c>
      <c r="B80">
        <v>0</v>
      </c>
      <c r="C80">
        <v>12.83</v>
      </c>
      <c r="D80">
        <v>0</v>
      </c>
      <c r="E80">
        <v>0.437</v>
      </c>
      <c r="F80">
        <v>6.2859999999999996</v>
      </c>
      <c r="G80">
        <v>45</v>
      </c>
      <c r="H80">
        <v>4.5026000000000002</v>
      </c>
      <c r="I80">
        <v>5</v>
      </c>
      <c r="J80">
        <v>398</v>
      </c>
      <c r="K80">
        <v>18.7</v>
      </c>
      <c r="L80">
        <v>383.23</v>
      </c>
      <c r="M80">
        <v>8.94</v>
      </c>
      <c r="N80">
        <v>21.4</v>
      </c>
      <c r="O80">
        <f t="shared" si="3"/>
        <v>23.966930200264258</v>
      </c>
      <c r="P80">
        <f>Table1[[#This Row],[medv]]-Table1[[#This Row],[pred_medv]]</f>
        <v>-2.5669302002642596</v>
      </c>
      <c r="Q80">
        <f>IF(Table1[[#This Row],[medv]]=0, "Undefined", ABS((N80-O80)/N80))*100</f>
        <v>11.995000935814298</v>
      </c>
      <c r="V80">
        <v>23</v>
      </c>
      <c r="W80">
        <v>15.832881291786736</v>
      </c>
      <c r="X80">
        <v>-0.63288129178673636</v>
      </c>
    </row>
    <row r="81" spans="1:24" x14ac:dyDescent="0.3">
      <c r="A81">
        <v>0.10153</v>
      </c>
      <c r="B81">
        <v>0</v>
      </c>
      <c r="C81">
        <v>12.83</v>
      </c>
      <c r="D81">
        <v>0</v>
      </c>
      <c r="E81">
        <v>0.437</v>
      </c>
      <c r="F81">
        <v>6.2789999999999999</v>
      </c>
      <c r="G81">
        <v>74.5</v>
      </c>
      <c r="H81">
        <v>4.0522</v>
      </c>
      <c r="I81">
        <v>5</v>
      </c>
      <c r="J81">
        <v>398</v>
      </c>
      <c r="K81">
        <v>18.7</v>
      </c>
      <c r="L81">
        <v>373.66</v>
      </c>
      <c r="M81">
        <v>11.97</v>
      </c>
      <c r="N81">
        <v>20</v>
      </c>
      <c r="O81">
        <f t="shared" si="3"/>
        <v>22.945454031329035</v>
      </c>
      <c r="P81">
        <f>Table1[[#This Row],[medv]]-Table1[[#This Row],[pred_medv]]</f>
        <v>-2.9454540313290352</v>
      </c>
      <c r="Q81">
        <f>IF(Table1[[#This Row],[medv]]=0, "Undefined", ABS((N81-O81)/N81))*100</f>
        <v>14.727270156645176</v>
      </c>
      <c r="V81">
        <v>24</v>
      </c>
      <c r="W81">
        <v>13.806285346354809</v>
      </c>
      <c r="X81">
        <v>0.69371465364519125</v>
      </c>
    </row>
    <row r="82" spans="1:24" x14ac:dyDescent="0.3">
      <c r="A82">
        <v>8.7069999999999995E-2</v>
      </c>
      <c r="B82">
        <v>0</v>
      </c>
      <c r="C82">
        <v>12.83</v>
      </c>
      <c r="D82">
        <v>0</v>
      </c>
      <c r="E82">
        <v>0.437</v>
      </c>
      <c r="F82">
        <v>6.14</v>
      </c>
      <c r="G82">
        <v>45.8</v>
      </c>
      <c r="H82">
        <v>4.0904999999999996</v>
      </c>
      <c r="I82">
        <v>5</v>
      </c>
      <c r="J82">
        <v>398</v>
      </c>
      <c r="K82">
        <v>18.7</v>
      </c>
      <c r="L82">
        <v>386.96</v>
      </c>
      <c r="M82">
        <v>10.27</v>
      </c>
      <c r="N82">
        <v>20.8</v>
      </c>
      <c r="O82">
        <f t="shared" si="3"/>
        <v>23.356998184348285</v>
      </c>
      <c r="P82">
        <f>Table1[[#This Row],[medv]]-Table1[[#This Row],[pred_medv]]</f>
        <v>-2.5569981843482843</v>
      </c>
      <c r="Q82">
        <f>IF(Table1[[#This Row],[medv]]=0, "Undefined", ABS((N82-O82)/N82))*100</f>
        <v>12.293260501674444</v>
      </c>
      <c r="V82">
        <v>25</v>
      </c>
      <c r="W82">
        <v>15.678338315463025</v>
      </c>
      <c r="X82">
        <v>-7.8338315463025054E-2</v>
      </c>
    </row>
    <row r="83" spans="1:24" x14ac:dyDescent="0.3">
      <c r="A83">
        <v>5.6460000000000003E-2</v>
      </c>
      <c r="B83">
        <v>0</v>
      </c>
      <c r="C83">
        <v>12.83</v>
      </c>
      <c r="D83">
        <v>0</v>
      </c>
      <c r="E83">
        <v>0.437</v>
      </c>
      <c r="F83">
        <v>6.2320000000000002</v>
      </c>
      <c r="G83">
        <v>53.7</v>
      </c>
      <c r="H83">
        <v>5.0141</v>
      </c>
      <c r="I83">
        <v>5</v>
      </c>
      <c r="J83">
        <v>398</v>
      </c>
      <c r="K83">
        <v>18.7</v>
      </c>
      <c r="L83">
        <v>386.4</v>
      </c>
      <c r="M83">
        <v>12.34</v>
      </c>
      <c r="N83">
        <v>21.2</v>
      </c>
      <c r="O83">
        <f t="shared" si="3"/>
        <v>21.261982662306263</v>
      </c>
      <c r="P83">
        <f>Table1[[#This Row],[medv]]-Table1[[#This Row],[pred_medv]]</f>
        <v>-6.1982662306263592E-2</v>
      </c>
      <c r="Q83">
        <f>IF(Table1[[#This Row],[medv]]=0, "Undefined", ABS((N83-O83)/N83))*100</f>
        <v>0.2923710486144509</v>
      </c>
      <c r="V83">
        <v>26</v>
      </c>
      <c r="W83">
        <v>13.386685608607365</v>
      </c>
      <c r="X83">
        <v>0.51331439139263502</v>
      </c>
    </row>
    <row r="84" spans="1:24" x14ac:dyDescent="0.3">
      <c r="A84">
        <v>8.387E-2</v>
      </c>
      <c r="B84">
        <v>0</v>
      </c>
      <c r="C84">
        <v>12.83</v>
      </c>
      <c r="D84">
        <v>0</v>
      </c>
      <c r="E84">
        <v>0.437</v>
      </c>
      <c r="F84">
        <v>5.8739999999999997</v>
      </c>
      <c r="G84">
        <v>36.6</v>
      </c>
      <c r="H84">
        <v>4.5026000000000002</v>
      </c>
      <c r="I84">
        <v>5</v>
      </c>
      <c r="J84">
        <v>398</v>
      </c>
      <c r="K84">
        <v>18.7</v>
      </c>
      <c r="L84">
        <v>396.06</v>
      </c>
      <c r="M84">
        <v>9.1</v>
      </c>
      <c r="N84">
        <v>20.3</v>
      </c>
      <c r="O84">
        <f t="shared" si="3"/>
        <v>22.428173731801525</v>
      </c>
      <c r="P84">
        <f>Table1[[#This Row],[medv]]-Table1[[#This Row],[pred_medv]]</f>
        <v>-2.1281737318015246</v>
      </c>
      <c r="Q84">
        <f>IF(Table1[[#This Row],[medv]]=0, "Undefined", ABS((N84-O84)/N84))*100</f>
        <v>10.483614442372042</v>
      </c>
      <c r="V84">
        <v>27</v>
      </c>
      <c r="W84">
        <v>15.463976546439868</v>
      </c>
      <c r="X84">
        <v>1.1360234535601332</v>
      </c>
    </row>
    <row r="85" spans="1:24" x14ac:dyDescent="0.3">
      <c r="A85">
        <v>4.113E-2</v>
      </c>
      <c r="B85">
        <v>25</v>
      </c>
      <c r="C85">
        <v>4.8600000000000003</v>
      </c>
      <c r="D85">
        <v>0</v>
      </c>
      <c r="E85">
        <v>0.42599999999999999</v>
      </c>
      <c r="F85">
        <v>6.7270000000000003</v>
      </c>
      <c r="G85">
        <v>33.5</v>
      </c>
      <c r="H85">
        <v>5.4006999999999996</v>
      </c>
      <c r="I85">
        <v>4</v>
      </c>
      <c r="J85">
        <v>281</v>
      </c>
      <c r="K85">
        <v>19</v>
      </c>
      <c r="L85">
        <v>396.9</v>
      </c>
      <c r="M85">
        <v>5.29</v>
      </c>
      <c r="N85">
        <v>28</v>
      </c>
      <c r="O85">
        <f t="shared" si="3"/>
        <v>28.405769682084109</v>
      </c>
      <c r="P85">
        <f>Table1[[#This Row],[medv]]-Table1[[#This Row],[pred_medv]]</f>
        <v>-0.40576968208410946</v>
      </c>
      <c r="Q85">
        <f>IF(Table1[[#This Row],[medv]]=0, "Undefined", ABS((N85-O85)/N85))*100</f>
        <v>1.4491774360146767</v>
      </c>
      <c r="V85">
        <v>28</v>
      </c>
      <c r="W85">
        <v>14.708474280635844</v>
      </c>
      <c r="X85">
        <v>9.1525719364156544E-2</v>
      </c>
    </row>
    <row r="86" spans="1:24" x14ac:dyDescent="0.3">
      <c r="A86">
        <v>4.462E-2</v>
      </c>
      <c r="B86">
        <v>25</v>
      </c>
      <c r="C86">
        <v>4.8600000000000003</v>
      </c>
      <c r="D86">
        <v>0</v>
      </c>
      <c r="E86">
        <v>0.42599999999999999</v>
      </c>
      <c r="F86">
        <v>6.6189999999999998</v>
      </c>
      <c r="G86">
        <v>70.400000000000006</v>
      </c>
      <c r="H86">
        <v>5.4006999999999996</v>
      </c>
      <c r="I86">
        <v>4</v>
      </c>
      <c r="J86">
        <v>281</v>
      </c>
      <c r="K86">
        <v>19</v>
      </c>
      <c r="L86">
        <v>395.63</v>
      </c>
      <c r="M86">
        <v>7.22</v>
      </c>
      <c r="N86">
        <v>23.9</v>
      </c>
      <c r="O86">
        <f t="shared" si="3"/>
        <v>26.994860862319761</v>
      </c>
      <c r="P86">
        <f>Table1[[#This Row],[medv]]-Table1[[#This Row],[pred_medv]]</f>
        <v>-3.0948608623197629</v>
      </c>
      <c r="Q86">
        <f>IF(Table1[[#This Row],[medv]]=0, "Undefined", ABS((N86-O86)/N86))*100</f>
        <v>12.949208628952983</v>
      </c>
      <c r="V86">
        <v>29</v>
      </c>
      <c r="W86">
        <v>19.547372850961661</v>
      </c>
      <c r="X86">
        <v>-1.1473728509616627</v>
      </c>
    </row>
    <row r="87" spans="1:24" x14ac:dyDescent="0.3">
      <c r="A87">
        <v>3.6589999999999998E-2</v>
      </c>
      <c r="B87">
        <v>25</v>
      </c>
      <c r="C87">
        <v>4.8600000000000003</v>
      </c>
      <c r="D87">
        <v>0</v>
      </c>
      <c r="E87">
        <v>0.42599999999999999</v>
      </c>
      <c r="F87">
        <v>6.3019999999999996</v>
      </c>
      <c r="G87">
        <v>32.200000000000003</v>
      </c>
      <c r="H87">
        <v>5.4006999999999996</v>
      </c>
      <c r="I87">
        <v>4</v>
      </c>
      <c r="J87">
        <v>281</v>
      </c>
      <c r="K87">
        <v>19</v>
      </c>
      <c r="L87">
        <v>396.9</v>
      </c>
      <c r="M87">
        <v>6.72</v>
      </c>
      <c r="N87">
        <v>24.8</v>
      </c>
      <c r="O87">
        <f t="shared" si="3"/>
        <v>26.035762968388973</v>
      </c>
      <c r="P87">
        <f>Table1[[#This Row],[medv]]-Table1[[#This Row],[pred_medv]]</f>
        <v>-1.2357629683889719</v>
      </c>
      <c r="Q87">
        <f>IF(Table1[[#This Row],[medv]]=0, "Undefined", ABS((N87-O87)/N87))*100</f>
        <v>4.9829151951168225</v>
      </c>
      <c r="V87">
        <v>30</v>
      </c>
      <c r="W87">
        <v>20.876428202261359</v>
      </c>
      <c r="X87">
        <v>0.12357179773864146</v>
      </c>
    </row>
    <row r="88" spans="1:24" x14ac:dyDescent="0.3">
      <c r="A88">
        <v>3.551E-2</v>
      </c>
      <c r="B88">
        <v>25</v>
      </c>
      <c r="C88">
        <v>4.8600000000000003</v>
      </c>
      <c r="D88">
        <v>0</v>
      </c>
      <c r="E88">
        <v>0.42599999999999999</v>
      </c>
      <c r="F88">
        <v>6.1669999999999998</v>
      </c>
      <c r="G88">
        <v>46.7</v>
      </c>
      <c r="H88">
        <v>5.4006999999999996</v>
      </c>
      <c r="I88">
        <v>4</v>
      </c>
      <c r="J88">
        <v>281</v>
      </c>
      <c r="K88">
        <v>19</v>
      </c>
      <c r="L88">
        <v>390.64</v>
      </c>
      <c r="M88">
        <v>7.51</v>
      </c>
      <c r="N88">
        <v>22.9</v>
      </c>
      <c r="O88">
        <f t="shared" si="3"/>
        <v>25.058734819221403</v>
      </c>
      <c r="P88">
        <f>Table1[[#This Row],[medv]]-Table1[[#This Row],[pred_medv]]</f>
        <v>-2.1587348192214044</v>
      </c>
      <c r="Q88">
        <f>IF(Table1[[#This Row],[medv]]=0, "Undefined", ABS((N88-O88)/N88))*100</f>
        <v>9.4267896035869203</v>
      </c>
      <c r="V88">
        <v>31</v>
      </c>
      <c r="W88">
        <v>11.455117589956112</v>
      </c>
      <c r="X88">
        <v>1.2448824100438873</v>
      </c>
    </row>
    <row r="89" spans="1:24" x14ac:dyDescent="0.3">
      <c r="A89">
        <v>5.0590000000000003E-2</v>
      </c>
      <c r="B89">
        <v>0</v>
      </c>
      <c r="C89">
        <v>4.49</v>
      </c>
      <c r="D89">
        <v>0</v>
      </c>
      <c r="E89">
        <v>0.44900000000000001</v>
      </c>
      <c r="F89">
        <v>6.3890000000000002</v>
      </c>
      <c r="G89">
        <v>48</v>
      </c>
      <c r="H89">
        <v>4.7793999999999999</v>
      </c>
      <c r="I89">
        <v>3</v>
      </c>
      <c r="J89">
        <v>247</v>
      </c>
      <c r="K89">
        <v>18.5</v>
      </c>
      <c r="L89">
        <v>396.9</v>
      </c>
      <c r="M89">
        <v>9.6199999999999992</v>
      </c>
      <c r="N89">
        <v>23.9</v>
      </c>
      <c r="O89">
        <f t="shared" si="3"/>
        <v>24.784566737932877</v>
      </c>
      <c r="P89">
        <f>Table1[[#This Row],[medv]]-Table1[[#This Row],[pred_medv]]</f>
        <v>-0.88456673793287877</v>
      </c>
      <c r="Q89">
        <f>IF(Table1[[#This Row],[medv]]=0, "Undefined", ABS((N89-O89)/N89))*100</f>
        <v>3.7011160582965643</v>
      </c>
      <c r="V89">
        <v>32</v>
      </c>
      <c r="W89">
        <v>18.059232945802727</v>
      </c>
      <c r="X89">
        <v>-3.5592329458027265</v>
      </c>
    </row>
    <row r="90" spans="1:24" x14ac:dyDescent="0.3">
      <c r="A90">
        <v>5.7349999999999998E-2</v>
      </c>
      <c r="B90">
        <v>0</v>
      </c>
      <c r="C90">
        <v>4.49</v>
      </c>
      <c r="D90">
        <v>0</v>
      </c>
      <c r="E90">
        <v>0.44900000000000001</v>
      </c>
      <c r="F90">
        <v>6.63</v>
      </c>
      <c r="G90">
        <v>56.1</v>
      </c>
      <c r="H90">
        <v>4.4377000000000004</v>
      </c>
      <c r="I90">
        <v>3</v>
      </c>
      <c r="J90">
        <v>247</v>
      </c>
      <c r="K90">
        <v>18.5</v>
      </c>
      <c r="L90">
        <v>392.3</v>
      </c>
      <c r="M90">
        <v>6.53</v>
      </c>
      <c r="N90">
        <v>26.6</v>
      </c>
      <c r="O90">
        <f t="shared" si="3"/>
        <v>27.790491951237321</v>
      </c>
      <c r="P90">
        <f>Table1[[#This Row],[medv]]-Table1[[#This Row],[pred_medv]]</f>
        <v>-1.1904919512373198</v>
      </c>
      <c r="Q90">
        <f>IF(Table1[[#This Row],[medv]]=0, "Undefined", ABS((N90-O90)/N90))*100</f>
        <v>4.475533651268119</v>
      </c>
      <c r="V90">
        <v>33</v>
      </c>
      <c r="W90">
        <v>8.8110573622146973</v>
      </c>
      <c r="X90">
        <v>4.388942637785302</v>
      </c>
    </row>
    <row r="91" spans="1:24" x14ac:dyDescent="0.3">
      <c r="A91">
        <v>5.1880000000000003E-2</v>
      </c>
      <c r="B91">
        <v>0</v>
      </c>
      <c r="C91">
        <v>4.49</v>
      </c>
      <c r="D91">
        <v>0</v>
      </c>
      <c r="E91">
        <v>0.44900000000000001</v>
      </c>
      <c r="F91">
        <v>6.0149999999999997</v>
      </c>
      <c r="G91">
        <v>45.1</v>
      </c>
      <c r="H91">
        <v>4.4272</v>
      </c>
      <c r="I91">
        <v>3</v>
      </c>
      <c r="J91">
        <v>247</v>
      </c>
      <c r="K91">
        <v>18.5</v>
      </c>
      <c r="L91">
        <v>395.99</v>
      </c>
      <c r="M91">
        <v>12.86</v>
      </c>
      <c r="N91">
        <v>22.5</v>
      </c>
      <c r="O91">
        <f t="shared" si="3"/>
        <v>22.168534231467092</v>
      </c>
      <c r="P91">
        <f>Table1[[#This Row],[medv]]-Table1[[#This Row],[pred_medv]]</f>
        <v>0.3314657685329081</v>
      </c>
      <c r="Q91">
        <f>IF(Table1[[#This Row],[medv]]=0, "Undefined", ABS((N91-O91)/N91))*100</f>
        <v>1.4731811934795915</v>
      </c>
      <c r="V91">
        <v>34</v>
      </c>
      <c r="W91">
        <v>14.282758141229463</v>
      </c>
      <c r="X91">
        <v>-1.1827581412294634</v>
      </c>
    </row>
    <row r="92" spans="1:24" x14ac:dyDescent="0.3">
      <c r="A92">
        <v>7.1510000000000004E-2</v>
      </c>
      <c r="B92">
        <v>0</v>
      </c>
      <c r="C92">
        <v>4.49</v>
      </c>
      <c r="D92">
        <v>0</v>
      </c>
      <c r="E92">
        <v>0.44900000000000001</v>
      </c>
      <c r="F92">
        <v>6.1210000000000004</v>
      </c>
      <c r="G92">
        <v>56.8</v>
      </c>
      <c r="H92">
        <v>3.7475999999999998</v>
      </c>
      <c r="I92">
        <v>3</v>
      </c>
      <c r="J92">
        <v>247</v>
      </c>
      <c r="K92">
        <v>18.5</v>
      </c>
      <c r="L92">
        <v>395.15</v>
      </c>
      <c r="M92">
        <v>8.44</v>
      </c>
      <c r="N92">
        <v>22.2</v>
      </c>
      <c r="O92">
        <f t="shared" si="3"/>
        <v>25.892764153167771</v>
      </c>
      <c r="P92">
        <f>Table1[[#This Row],[medv]]-Table1[[#This Row],[pred_medv]]</f>
        <v>-3.6927641531677722</v>
      </c>
      <c r="Q92">
        <f>IF(Table1[[#This Row],[medv]]=0, "Undefined", ABS((N92-O92)/N92))*100</f>
        <v>16.634072762016995</v>
      </c>
      <c r="V92">
        <v>35</v>
      </c>
      <c r="W92">
        <v>13.706758912850958</v>
      </c>
      <c r="X92">
        <v>-0.20675891285095815</v>
      </c>
    </row>
    <row r="93" spans="1:24" x14ac:dyDescent="0.3">
      <c r="A93">
        <v>5.6599999999999998E-2</v>
      </c>
      <c r="B93">
        <v>0</v>
      </c>
      <c r="C93">
        <v>3.41</v>
      </c>
      <c r="D93">
        <v>0</v>
      </c>
      <c r="E93">
        <v>0.48899999999999999</v>
      </c>
      <c r="F93">
        <v>7.0069999999999997</v>
      </c>
      <c r="G93">
        <v>86.3</v>
      </c>
      <c r="H93">
        <v>3.4217</v>
      </c>
      <c r="I93">
        <v>2</v>
      </c>
      <c r="J93">
        <v>270</v>
      </c>
      <c r="K93">
        <v>17.8</v>
      </c>
      <c r="L93">
        <v>396.9</v>
      </c>
      <c r="M93">
        <v>5.5</v>
      </c>
      <c r="N93">
        <v>23.6</v>
      </c>
      <c r="O93">
        <f t="shared" si="3"/>
        <v>30.674618271761911</v>
      </c>
      <c r="P93">
        <f>Table1[[#This Row],[medv]]-Table1[[#This Row],[pred_medv]]</f>
        <v>-7.0746182717619099</v>
      </c>
      <c r="Q93">
        <f>IF(Table1[[#This Row],[medv]]=0, "Undefined", ABS((N93-O93)/N93))*100</f>
        <v>29.977196066787755</v>
      </c>
      <c r="V93">
        <v>36</v>
      </c>
      <c r="W93">
        <v>23.814635264832841</v>
      </c>
      <c r="X93">
        <v>-4.9146352648328424</v>
      </c>
    </row>
    <row r="94" spans="1:24" x14ac:dyDescent="0.3">
      <c r="A94">
        <v>5.3019999999999998E-2</v>
      </c>
      <c r="B94">
        <v>0</v>
      </c>
      <c r="C94">
        <v>3.41</v>
      </c>
      <c r="D94">
        <v>0</v>
      </c>
      <c r="E94">
        <v>0.48899999999999999</v>
      </c>
      <c r="F94">
        <v>7.0789999999999997</v>
      </c>
      <c r="G94">
        <v>63.1</v>
      </c>
      <c r="H94">
        <v>3.4144999999999999</v>
      </c>
      <c r="I94">
        <v>2</v>
      </c>
      <c r="J94">
        <v>270</v>
      </c>
      <c r="K94">
        <v>17.8</v>
      </c>
      <c r="L94">
        <v>396.06</v>
      </c>
      <c r="M94">
        <v>5.7</v>
      </c>
      <c r="N94">
        <v>28.7</v>
      </c>
      <c r="O94">
        <f t="shared" si="3"/>
        <v>30.831106227424474</v>
      </c>
      <c r="P94">
        <f>Table1[[#This Row],[medv]]-Table1[[#This Row],[pred_medv]]</f>
        <v>-2.1311062274244748</v>
      </c>
      <c r="Q94">
        <f>IF(Table1[[#This Row],[medv]]=0, "Undefined", ABS((N94-O94)/N94))*100</f>
        <v>7.4254572384128039</v>
      </c>
      <c r="V94">
        <v>37</v>
      </c>
      <c r="W94">
        <v>22.341937075689099</v>
      </c>
      <c r="X94">
        <v>-2.3419370756890991</v>
      </c>
    </row>
    <row r="95" spans="1:24" x14ac:dyDescent="0.3">
      <c r="A95">
        <v>4.684E-2</v>
      </c>
      <c r="B95">
        <v>0</v>
      </c>
      <c r="C95">
        <v>3.41</v>
      </c>
      <c r="D95">
        <v>0</v>
      </c>
      <c r="E95">
        <v>0.48899999999999999</v>
      </c>
      <c r="F95">
        <v>6.4169999999999998</v>
      </c>
      <c r="G95">
        <v>66.099999999999994</v>
      </c>
      <c r="H95">
        <v>3.0922999999999998</v>
      </c>
      <c r="I95">
        <v>2</v>
      </c>
      <c r="J95">
        <v>270</v>
      </c>
      <c r="K95">
        <v>17.8</v>
      </c>
      <c r="L95">
        <v>392.18</v>
      </c>
      <c r="M95">
        <v>8.81</v>
      </c>
      <c r="N95">
        <v>22.6</v>
      </c>
      <c r="O95">
        <f t="shared" si="3"/>
        <v>27.119019396048749</v>
      </c>
      <c r="P95">
        <f>Table1[[#This Row],[medv]]-Table1[[#This Row],[pred_medv]]</f>
        <v>-4.5190193960487477</v>
      </c>
      <c r="Q95">
        <f>IF(Table1[[#This Row],[medv]]=0, "Undefined", ABS((N95-O95)/N95))*100</f>
        <v>19.995661044463482</v>
      </c>
      <c r="V95">
        <v>38</v>
      </c>
      <c r="W95">
        <v>23.108911424544345</v>
      </c>
      <c r="X95">
        <v>-2.1089114245443454</v>
      </c>
    </row>
    <row r="96" spans="1:24" x14ac:dyDescent="0.3">
      <c r="A96">
        <v>3.9320000000000001E-2</v>
      </c>
      <c r="B96">
        <v>0</v>
      </c>
      <c r="C96">
        <v>3.41</v>
      </c>
      <c r="D96">
        <v>0</v>
      </c>
      <c r="E96">
        <v>0.48899999999999999</v>
      </c>
      <c r="F96">
        <v>6.4050000000000002</v>
      </c>
      <c r="G96">
        <v>73.900000000000006</v>
      </c>
      <c r="H96">
        <v>3.0920999999999998</v>
      </c>
      <c r="I96">
        <v>2</v>
      </c>
      <c r="J96">
        <v>270</v>
      </c>
      <c r="K96">
        <v>17.8</v>
      </c>
      <c r="L96">
        <v>393.55</v>
      </c>
      <c r="M96">
        <v>8.1999999999999993</v>
      </c>
      <c r="N96">
        <v>22</v>
      </c>
      <c r="O96">
        <f t="shared" si="3"/>
        <v>27.412667341118727</v>
      </c>
      <c r="P96">
        <f>Table1[[#This Row],[medv]]-Table1[[#This Row],[pred_medv]]</f>
        <v>-5.4126673411187269</v>
      </c>
      <c r="Q96">
        <f>IF(Table1[[#This Row],[medv]]=0, "Undefined", ABS((N96-O96)/N96))*100</f>
        <v>24.603033368721487</v>
      </c>
      <c r="V96">
        <v>39</v>
      </c>
      <c r="W96">
        <v>22.915026116165166</v>
      </c>
      <c r="X96">
        <v>1.7849738838348337</v>
      </c>
    </row>
    <row r="97" spans="1:24" x14ac:dyDescent="0.3">
      <c r="A97">
        <v>4.2029999999999998E-2</v>
      </c>
      <c r="B97">
        <v>28</v>
      </c>
      <c r="C97">
        <v>15.04</v>
      </c>
      <c r="D97">
        <v>0</v>
      </c>
      <c r="E97">
        <v>0.46400000000000002</v>
      </c>
      <c r="F97">
        <v>6.4420000000000002</v>
      </c>
      <c r="G97">
        <v>53.6</v>
      </c>
      <c r="H97">
        <v>3.6659000000000002</v>
      </c>
      <c r="I97">
        <v>4</v>
      </c>
      <c r="J97">
        <v>270</v>
      </c>
      <c r="K97">
        <v>18.2</v>
      </c>
      <c r="L97">
        <v>395.01</v>
      </c>
      <c r="M97">
        <v>8.16</v>
      </c>
      <c r="N97">
        <v>22.9</v>
      </c>
      <c r="O97">
        <f t="shared" si="3"/>
        <v>28.941227624397129</v>
      </c>
      <c r="P97">
        <f>Table1[[#This Row],[medv]]-Table1[[#This Row],[pred_medv]]</f>
        <v>-6.0412276243971306</v>
      </c>
      <c r="Q97">
        <f>IF(Table1[[#This Row],[medv]]=0, "Undefined", ABS((N97-O97)/N97))*100</f>
        <v>26.380906656756032</v>
      </c>
      <c r="V97">
        <v>40</v>
      </c>
      <c r="W97">
        <v>31.357625688164866</v>
      </c>
      <c r="X97">
        <v>-0.55762568816486535</v>
      </c>
    </row>
    <row r="98" spans="1:24" x14ac:dyDescent="0.3">
      <c r="A98">
        <v>2.8750000000000001E-2</v>
      </c>
      <c r="B98">
        <v>28</v>
      </c>
      <c r="C98">
        <v>15.04</v>
      </c>
      <c r="D98">
        <v>0</v>
      </c>
      <c r="E98">
        <v>0.46400000000000002</v>
      </c>
      <c r="F98">
        <v>6.2110000000000003</v>
      </c>
      <c r="G98">
        <v>28.9</v>
      </c>
      <c r="H98">
        <v>3.6659000000000002</v>
      </c>
      <c r="I98">
        <v>4</v>
      </c>
      <c r="J98">
        <v>270</v>
      </c>
      <c r="K98">
        <v>18.2</v>
      </c>
      <c r="L98">
        <v>396.33</v>
      </c>
      <c r="M98">
        <v>6.21</v>
      </c>
      <c r="N98">
        <v>25</v>
      </c>
      <c r="O98">
        <f t="shared" si="3"/>
        <v>29.081055462579375</v>
      </c>
      <c r="P98">
        <f>Table1[[#This Row],[medv]]-Table1[[#This Row],[pred_medv]]</f>
        <v>-4.0810554625793749</v>
      </c>
      <c r="Q98">
        <f>IF(Table1[[#This Row],[medv]]=0, "Undefined", ABS((N98-O98)/N98))*100</f>
        <v>16.3242218503175</v>
      </c>
      <c r="V98">
        <v>41</v>
      </c>
      <c r="W98">
        <v>34.215102253700351</v>
      </c>
      <c r="X98">
        <v>0.68489774629964728</v>
      </c>
    </row>
    <row r="99" spans="1:24" x14ac:dyDescent="0.3">
      <c r="A99">
        <v>4.2939999999999999E-2</v>
      </c>
      <c r="B99">
        <v>28</v>
      </c>
      <c r="C99">
        <v>15.04</v>
      </c>
      <c r="D99">
        <v>0</v>
      </c>
      <c r="E99">
        <v>0.46400000000000002</v>
      </c>
      <c r="F99">
        <v>6.2489999999999997</v>
      </c>
      <c r="G99">
        <v>77.3</v>
      </c>
      <c r="H99">
        <v>3.6150000000000002</v>
      </c>
      <c r="I99">
        <v>4</v>
      </c>
      <c r="J99">
        <v>270</v>
      </c>
      <c r="K99">
        <v>18.2</v>
      </c>
      <c r="L99">
        <v>396.9</v>
      </c>
      <c r="M99">
        <v>10.59</v>
      </c>
      <c r="N99">
        <v>20.6</v>
      </c>
      <c r="O99">
        <f t="shared" si="3"/>
        <v>27.039773648763166</v>
      </c>
      <c r="P99">
        <f>Table1[[#This Row],[medv]]-Table1[[#This Row],[pred_medv]]</f>
        <v>-6.4397736487631647</v>
      </c>
      <c r="Q99">
        <f>IF(Table1[[#This Row],[medv]]=0, "Undefined", ABS((N99-O99)/N99))*100</f>
        <v>31.261037129918272</v>
      </c>
      <c r="V99">
        <v>42</v>
      </c>
      <c r="W99">
        <v>28.020564138691633</v>
      </c>
      <c r="X99">
        <v>-1.4205641386916312</v>
      </c>
    </row>
    <row r="100" spans="1:24" x14ac:dyDescent="0.3">
      <c r="A100">
        <v>0.12204</v>
      </c>
      <c r="B100">
        <v>0</v>
      </c>
      <c r="C100">
        <v>2.89</v>
      </c>
      <c r="D100">
        <v>0</v>
      </c>
      <c r="E100">
        <v>0.44500000000000001</v>
      </c>
      <c r="F100">
        <v>6.625</v>
      </c>
      <c r="G100">
        <v>57.8</v>
      </c>
      <c r="H100">
        <v>3.4952000000000001</v>
      </c>
      <c r="I100">
        <v>2</v>
      </c>
      <c r="J100">
        <v>276</v>
      </c>
      <c r="K100">
        <v>18</v>
      </c>
      <c r="L100">
        <v>357.98</v>
      </c>
      <c r="M100">
        <v>6.65</v>
      </c>
      <c r="N100">
        <v>28.4</v>
      </c>
      <c r="O100">
        <f t="shared" si="3"/>
        <v>28.624599485046069</v>
      </c>
      <c r="P100">
        <f>Table1[[#This Row],[medv]]-Table1[[#This Row],[pred_medv]]</f>
        <v>-0.22459948504607041</v>
      </c>
      <c r="Q100">
        <f>IF(Table1[[#This Row],[medv]]=0, "Undefined", ABS((N100-O100)/N100))*100</f>
        <v>0.79084325720447324</v>
      </c>
      <c r="V100">
        <v>43</v>
      </c>
      <c r="W100">
        <v>25.203866280479019</v>
      </c>
      <c r="X100">
        <v>9.6133719520981487E-2</v>
      </c>
    </row>
    <row r="101" spans="1:24" x14ac:dyDescent="0.3">
      <c r="A101">
        <v>0.11504</v>
      </c>
      <c r="B101">
        <v>0</v>
      </c>
      <c r="C101">
        <v>2.89</v>
      </c>
      <c r="D101">
        <v>0</v>
      </c>
      <c r="E101">
        <v>0.44500000000000001</v>
      </c>
      <c r="F101">
        <v>6.1630000000000003</v>
      </c>
      <c r="G101">
        <v>69.599999999999994</v>
      </c>
      <c r="H101">
        <v>3.4952000000000001</v>
      </c>
      <c r="I101">
        <v>2</v>
      </c>
      <c r="J101">
        <v>276</v>
      </c>
      <c r="K101">
        <v>18</v>
      </c>
      <c r="L101">
        <v>391.83</v>
      </c>
      <c r="M101">
        <v>11.34</v>
      </c>
      <c r="N101">
        <v>21.4</v>
      </c>
      <c r="O101">
        <f t="shared" si="3"/>
        <v>24.727449776436821</v>
      </c>
      <c r="P101">
        <f>Table1[[#This Row],[medv]]-Table1[[#This Row],[pred_medv]]</f>
        <v>-3.327449776436822</v>
      </c>
      <c r="Q101">
        <f>IF(Table1[[#This Row],[medv]]=0, "Undefined", ABS((N101-O101)/N101))*100</f>
        <v>15.548830731013188</v>
      </c>
      <c r="V101">
        <v>44</v>
      </c>
      <c r="W101">
        <v>24.609792725451936</v>
      </c>
      <c r="X101">
        <v>9.0207274548063765E-2</v>
      </c>
    </row>
    <row r="102" spans="1:24" x14ac:dyDescent="0.3">
      <c r="A102">
        <v>0.12083000000000001</v>
      </c>
      <c r="B102">
        <v>0</v>
      </c>
      <c r="C102">
        <v>2.89</v>
      </c>
      <c r="D102">
        <v>0</v>
      </c>
      <c r="E102">
        <v>0.44500000000000001</v>
      </c>
      <c r="F102">
        <v>8.0690000000000008</v>
      </c>
      <c r="G102">
        <v>76</v>
      </c>
      <c r="H102">
        <v>3.4952000000000001</v>
      </c>
      <c r="I102">
        <v>2</v>
      </c>
      <c r="J102">
        <v>276</v>
      </c>
      <c r="K102">
        <v>18</v>
      </c>
      <c r="L102">
        <v>396.9</v>
      </c>
      <c r="M102">
        <v>4.21</v>
      </c>
      <c r="N102">
        <v>38.700000000000003</v>
      </c>
      <c r="O102">
        <f t="shared" si="3"/>
        <v>35.781595180859284</v>
      </c>
      <c r="P102">
        <f>Table1[[#This Row],[medv]]-Table1[[#This Row],[pred_medv]]</f>
        <v>2.9184048191407186</v>
      </c>
      <c r="Q102">
        <f>IF(Table1[[#This Row],[medv]]=0, "Undefined", ABS((N102-O102)/N102))*100</f>
        <v>7.541097723877825</v>
      </c>
      <c r="V102">
        <v>45</v>
      </c>
      <c r="W102">
        <v>22.94149175655523</v>
      </c>
      <c r="X102">
        <v>-1.7414917565552308</v>
      </c>
    </row>
    <row r="103" spans="1:24" x14ac:dyDescent="0.3">
      <c r="A103">
        <v>8.1869999999999998E-2</v>
      </c>
      <c r="B103">
        <v>0</v>
      </c>
      <c r="C103">
        <v>2.89</v>
      </c>
      <c r="D103">
        <v>0</v>
      </c>
      <c r="E103">
        <v>0.44500000000000001</v>
      </c>
      <c r="F103">
        <v>7.82</v>
      </c>
      <c r="G103">
        <v>36.9</v>
      </c>
      <c r="H103">
        <v>3.4952000000000001</v>
      </c>
      <c r="I103">
        <v>2</v>
      </c>
      <c r="J103">
        <v>276</v>
      </c>
      <c r="K103">
        <v>18</v>
      </c>
      <c r="L103">
        <v>393.53</v>
      </c>
      <c r="M103">
        <v>3.57</v>
      </c>
      <c r="N103">
        <v>43.8</v>
      </c>
      <c r="O103">
        <f t="shared" si="3"/>
        <v>35.114545872622465</v>
      </c>
      <c r="P103">
        <f>Table1[[#This Row],[medv]]-Table1[[#This Row],[pred_medv]]</f>
        <v>8.6854541273775325</v>
      </c>
      <c r="Q103">
        <f>IF(Table1[[#This Row],[medv]]=0, "Undefined", ABS((N103-O103)/N103))*100</f>
        <v>19.82980394378432</v>
      </c>
      <c r="V103">
        <v>46</v>
      </c>
      <c r="W103">
        <v>22.096698174979078</v>
      </c>
      <c r="X103">
        <v>-2.7966981749790776</v>
      </c>
    </row>
    <row r="104" spans="1:24" x14ac:dyDescent="0.3">
      <c r="A104">
        <v>6.8599999999999994E-2</v>
      </c>
      <c r="B104">
        <v>0</v>
      </c>
      <c r="C104">
        <v>2.89</v>
      </c>
      <c r="D104">
        <v>0</v>
      </c>
      <c r="E104">
        <v>0.44500000000000001</v>
      </c>
      <c r="F104">
        <v>7.4160000000000004</v>
      </c>
      <c r="G104">
        <v>62.5</v>
      </c>
      <c r="H104">
        <v>3.4952000000000001</v>
      </c>
      <c r="I104">
        <v>2</v>
      </c>
      <c r="J104">
        <v>276</v>
      </c>
      <c r="K104">
        <v>18</v>
      </c>
      <c r="L104">
        <v>396.9</v>
      </c>
      <c r="M104">
        <v>6.19</v>
      </c>
      <c r="N104">
        <v>33.200000000000003</v>
      </c>
      <c r="O104">
        <f t="shared" si="3"/>
        <v>32.251028013234162</v>
      </c>
      <c r="P104">
        <f>Table1[[#This Row],[medv]]-Table1[[#This Row],[pred_medv]]</f>
        <v>0.94897198676584082</v>
      </c>
      <c r="Q104">
        <f>IF(Table1[[#This Row],[medv]]=0, "Undefined", ABS((N104-O104)/N104))*100</f>
        <v>2.8583493577284362</v>
      </c>
      <c r="V104">
        <v>47</v>
      </c>
      <c r="W104">
        <v>20.423200323014676</v>
      </c>
      <c r="X104">
        <v>-0.42320032301467592</v>
      </c>
    </row>
    <row r="105" spans="1:24" x14ac:dyDescent="0.3">
      <c r="A105">
        <v>0.14865999999999999</v>
      </c>
      <c r="B105">
        <v>0</v>
      </c>
      <c r="C105">
        <v>8.56</v>
      </c>
      <c r="D105">
        <v>0</v>
      </c>
      <c r="E105">
        <v>0.52</v>
      </c>
      <c r="F105">
        <v>6.7270000000000003</v>
      </c>
      <c r="G105">
        <v>79.900000000000006</v>
      </c>
      <c r="H105">
        <v>2.7778</v>
      </c>
      <c r="I105">
        <v>5</v>
      </c>
      <c r="J105">
        <v>384</v>
      </c>
      <c r="K105">
        <v>20.9</v>
      </c>
      <c r="L105">
        <v>394.76</v>
      </c>
      <c r="M105">
        <v>9.42</v>
      </c>
      <c r="N105">
        <v>27.5</v>
      </c>
      <c r="O105">
        <f t="shared" si="3"/>
        <v>24.580220188923782</v>
      </c>
      <c r="P105">
        <f>Table1[[#This Row],[medv]]-Table1[[#This Row],[pred_medv]]</f>
        <v>2.9197798110762179</v>
      </c>
      <c r="Q105">
        <f>IF(Table1[[#This Row],[medv]]=0, "Undefined", ABS((N105-O105)/N105))*100</f>
        <v>10.617381131186248</v>
      </c>
      <c r="V105">
        <v>48</v>
      </c>
      <c r="W105">
        <v>18.036550883547445</v>
      </c>
      <c r="X105">
        <v>-1.4365508835474436</v>
      </c>
    </row>
    <row r="106" spans="1:24" x14ac:dyDescent="0.3">
      <c r="A106">
        <v>0.11432</v>
      </c>
      <c r="B106">
        <v>0</v>
      </c>
      <c r="C106">
        <v>8.56</v>
      </c>
      <c r="D106">
        <v>0</v>
      </c>
      <c r="E106">
        <v>0.52</v>
      </c>
      <c r="F106">
        <v>6.7809999999999997</v>
      </c>
      <c r="G106">
        <v>71.3</v>
      </c>
      <c r="H106">
        <v>2.8561000000000001</v>
      </c>
      <c r="I106">
        <v>5</v>
      </c>
      <c r="J106">
        <v>384</v>
      </c>
      <c r="K106">
        <v>20.9</v>
      </c>
      <c r="L106">
        <v>395.58</v>
      </c>
      <c r="M106">
        <v>7.67</v>
      </c>
      <c r="N106">
        <v>26.5</v>
      </c>
      <c r="O106">
        <f t="shared" si="3"/>
        <v>25.594134745733747</v>
      </c>
      <c r="P106">
        <f>Table1[[#This Row],[medv]]-Table1[[#This Row],[pred_medv]]</f>
        <v>0.90586525426625286</v>
      </c>
      <c r="Q106">
        <f>IF(Table1[[#This Row],[medv]]=0, "Undefined", ABS((N106-O106)/N106))*100</f>
        <v>3.418359450061331</v>
      </c>
      <c r="V106">
        <v>49</v>
      </c>
      <c r="W106">
        <v>9.1065537721825827</v>
      </c>
      <c r="X106">
        <v>5.2934462278174177</v>
      </c>
    </row>
    <row r="107" spans="1:24" x14ac:dyDescent="0.3">
      <c r="A107">
        <v>0.22875999999999999</v>
      </c>
      <c r="B107">
        <v>0</v>
      </c>
      <c r="C107">
        <v>8.56</v>
      </c>
      <c r="D107">
        <v>0</v>
      </c>
      <c r="E107">
        <v>0.52</v>
      </c>
      <c r="F107">
        <v>6.4050000000000002</v>
      </c>
      <c r="G107">
        <v>85.4</v>
      </c>
      <c r="H107">
        <v>2.7147000000000001</v>
      </c>
      <c r="I107">
        <v>5</v>
      </c>
      <c r="J107">
        <v>384</v>
      </c>
      <c r="K107">
        <v>20.9</v>
      </c>
      <c r="L107">
        <v>70.8</v>
      </c>
      <c r="M107">
        <v>10.63</v>
      </c>
      <c r="N107">
        <v>18.600000000000001</v>
      </c>
      <c r="O107">
        <f t="shared" si="3"/>
        <v>19.790136835464359</v>
      </c>
      <c r="P107">
        <f>Table1[[#This Row],[medv]]-Table1[[#This Row],[pred_medv]]</f>
        <v>-1.190136835464358</v>
      </c>
      <c r="Q107">
        <f>IF(Table1[[#This Row],[medv]]=0, "Undefined", ABS((N107-O107)/N107))*100</f>
        <v>6.3985851369051492</v>
      </c>
      <c r="V107">
        <v>50</v>
      </c>
      <c r="W107">
        <v>17.206077514125131</v>
      </c>
      <c r="X107">
        <v>2.193922485874868</v>
      </c>
    </row>
    <row r="108" spans="1:24" x14ac:dyDescent="0.3">
      <c r="A108">
        <v>0.21160999999999999</v>
      </c>
      <c r="B108">
        <v>0</v>
      </c>
      <c r="C108">
        <v>8.56</v>
      </c>
      <c r="D108">
        <v>0</v>
      </c>
      <c r="E108">
        <v>0.52</v>
      </c>
      <c r="F108">
        <v>6.1369999999999996</v>
      </c>
      <c r="G108">
        <v>87.4</v>
      </c>
      <c r="H108">
        <v>2.7147000000000001</v>
      </c>
      <c r="I108">
        <v>5</v>
      </c>
      <c r="J108">
        <v>384</v>
      </c>
      <c r="K108">
        <v>20.9</v>
      </c>
      <c r="L108">
        <v>394.47</v>
      </c>
      <c r="M108">
        <v>13.44</v>
      </c>
      <c r="N108">
        <v>19.3</v>
      </c>
      <c r="O108">
        <f t="shared" si="3"/>
        <v>20.311671287562007</v>
      </c>
      <c r="P108">
        <f>Table1[[#This Row],[medv]]-Table1[[#This Row],[pred_medv]]</f>
        <v>-1.011671287562006</v>
      </c>
      <c r="Q108">
        <f>IF(Table1[[#This Row],[medv]]=0, "Undefined", ABS((N108-O108)/N108))*100</f>
        <v>5.2418201428083213</v>
      </c>
      <c r="V108">
        <v>51</v>
      </c>
      <c r="W108">
        <v>21.281525353211379</v>
      </c>
      <c r="X108">
        <v>-1.5815253532113793</v>
      </c>
    </row>
    <row r="109" spans="1:24" x14ac:dyDescent="0.3">
      <c r="A109">
        <v>0.1396</v>
      </c>
      <c r="B109">
        <v>0</v>
      </c>
      <c r="C109">
        <v>8.56</v>
      </c>
      <c r="D109">
        <v>0</v>
      </c>
      <c r="E109">
        <v>0.52</v>
      </c>
      <c r="F109">
        <v>6.1669999999999998</v>
      </c>
      <c r="G109">
        <v>90</v>
      </c>
      <c r="H109">
        <v>2.4209999999999998</v>
      </c>
      <c r="I109">
        <v>5</v>
      </c>
      <c r="J109">
        <v>384</v>
      </c>
      <c r="K109">
        <v>20.9</v>
      </c>
      <c r="L109">
        <v>392.69</v>
      </c>
      <c r="M109">
        <v>12.33</v>
      </c>
      <c r="N109">
        <v>20.100000000000001</v>
      </c>
      <c r="O109">
        <f t="shared" si="3"/>
        <v>21.434825911454045</v>
      </c>
      <c r="P109">
        <f>Table1[[#This Row],[medv]]-Table1[[#This Row],[pred_medv]]</f>
        <v>-1.3348259114540433</v>
      </c>
      <c r="Q109">
        <f>IF(Table1[[#This Row],[medv]]=0, "Undefined", ABS((N109-O109)/N109))*100</f>
        <v>6.64092493260718</v>
      </c>
      <c r="V109">
        <v>52</v>
      </c>
      <c r="W109">
        <v>23.972222848689551</v>
      </c>
      <c r="X109">
        <v>-3.472222848689551</v>
      </c>
    </row>
    <row r="110" spans="1:24" x14ac:dyDescent="0.3">
      <c r="A110">
        <v>0.13261999999999999</v>
      </c>
      <c r="B110">
        <v>0</v>
      </c>
      <c r="C110">
        <v>8.56</v>
      </c>
      <c r="D110">
        <v>0</v>
      </c>
      <c r="E110">
        <v>0.52</v>
      </c>
      <c r="F110">
        <v>5.851</v>
      </c>
      <c r="G110">
        <v>96.7</v>
      </c>
      <c r="H110">
        <v>2.1069</v>
      </c>
      <c r="I110">
        <v>5</v>
      </c>
      <c r="J110">
        <v>384</v>
      </c>
      <c r="K110">
        <v>20.9</v>
      </c>
      <c r="L110">
        <v>394.05</v>
      </c>
      <c r="M110">
        <v>16.47</v>
      </c>
      <c r="N110">
        <v>19.5</v>
      </c>
      <c r="O110">
        <f t="shared" si="3"/>
        <v>18.539940081604019</v>
      </c>
      <c r="P110">
        <f>Table1[[#This Row],[medv]]-Table1[[#This Row],[pred_medv]]</f>
        <v>0.96005991839598082</v>
      </c>
      <c r="Q110">
        <f>IF(Table1[[#This Row],[medv]]=0, "Undefined", ABS((N110-O110)/N110))*100</f>
        <v>4.9233841969024663</v>
      </c>
      <c r="V110">
        <v>53</v>
      </c>
      <c r="W110">
        <v>27.655850802057387</v>
      </c>
      <c r="X110">
        <v>-2.6558508020573868</v>
      </c>
    </row>
    <row r="111" spans="1:24" x14ac:dyDescent="0.3">
      <c r="A111">
        <v>0.17119999999999999</v>
      </c>
      <c r="B111">
        <v>0</v>
      </c>
      <c r="C111">
        <v>8.56</v>
      </c>
      <c r="D111">
        <v>0</v>
      </c>
      <c r="E111">
        <v>0.52</v>
      </c>
      <c r="F111">
        <v>5.8360000000000003</v>
      </c>
      <c r="G111">
        <v>91.9</v>
      </c>
      <c r="H111">
        <v>2.2109999999999999</v>
      </c>
      <c r="I111">
        <v>5</v>
      </c>
      <c r="J111">
        <v>384</v>
      </c>
      <c r="K111">
        <v>20.9</v>
      </c>
      <c r="L111">
        <v>395.67</v>
      </c>
      <c r="M111">
        <v>18.66</v>
      </c>
      <c r="N111">
        <v>19.5</v>
      </c>
      <c r="O111">
        <f t="shared" si="3"/>
        <v>17.187559917815925</v>
      </c>
      <c r="P111">
        <f>Table1[[#This Row],[medv]]-Table1[[#This Row],[pred_medv]]</f>
        <v>2.3124400821840752</v>
      </c>
      <c r="Q111">
        <f>IF(Table1[[#This Row],[medv]]=0, "Undefined", ABS((N111-O111)/N111))*100</f>
        <v>11.858667088123461</v>
      </c>
      <c r="V111">
        <v>54</v>
      </c>
      <c r="W111">
        <v>24.049018091157773</v>
      </c>
      <c r="X111">
        <v>-0.64901809115777453</v>
      </c>
    </row>
    <row r="112" spans="1:24" x14ac:dyDescent="0.3">
      <c r="A112">
        <v>0.13117000000000001</v>
      </c>
      <c r="B112">
        <v>0</v>
      </c>
      <c r="C112">
        <v>8.56</v>
      </c>
      <c r="D112">
        <v>0</v>
      </c>
      <c r="E112">
        <v>0.52</v>
      </c>
      <c r="F112">
        <v>6.1269999999999998</v>
      </c>
      <c r="G112">
        <v>85.2</v>
      </c>
      <c r="H112">
        <v>2.1223999999999998</v>
      </c>
      <c r="I112">
        <v>5</v>
      </c>
      <c r="J112">
        <v>384</v>
      </c>
      <c r="K112">
        <v>20.9</v>
      </c>
      <c r="L112">
        <v>387.69</v>
      </c>
      <c r="M112">
        <v>14.09</v>
      </c>
      <c r="N112">
        <v>20.399999999999999</v>
      </c>
      <c r="O112">
        <f t="shared" si="3"/>
        <v>20.750490259356194</v>
      </c>
      <c r="P112">
        <f>Table1[[#This Row],[medv]]-Table1[[#This Row],[pred_medv]]</f>
        <v>-0.35049025935619582</v>
      </c>
      <c r="Q112">
        <f>IF(Table1[[#This Row],[medv]]=0, "Undefined", ABS((N112-O112)/N112))*100</f>
        <v>1.7180895066480188</v>
      </c>
      <c r="V112">
        <v>55</v>
      </c>
      <c r="W112">
        <v>15.361847701003363</v>
      </c>
      <c r="X112">
        <v>3.5381522989966356</v>
      </c>
    </row>
    <row r="113" spans="1:24" x14ac:dyDescent="0.3">
      <c r="A113">
        <v>0.12801999999999999</v>
      </c>
      <c r="B113">
        <v>0</v>
      </c>
      <c r="C113">
        <v>8.56</v>
      </c>
      <c r="D113">
        <v>0</v>
      </c>
      <c r="E113">
        <v>0.52</v>
      </c>
      <c r="F113">
        <v>6.4740000000000002</v>
      </c>
      <c r="G113">
        <v>97.1</v>
      </c>
      <c r="H113">
        <v>2.4329000000000001</v>
      </c>
      <c r="I113">
        <v>5</v>
      </c>
      <c r="J113">
        <v>384</v>
      </c>
      <c r="K113">
        <v>20.9</v>
      </c>
      <c r="L113">
        <v>395.24</v>
      </c>
      <c r="M113">
        <v>12.27</v>
      </c>
      <c r="N113">
        <v>19.8</v>
      </c>
      <c r="O113">
        <f t="shared" si="3"/>
        <v>22.648291145971534</v>
      </c>
      <c r="P113">
        <f>Table1[[#This Row],[medv]]-Table1[[#This Row],[pred_medv]]</f>
        <v>-2.8482911459715332</v>
      </c>
      <c r="Q113">
        <f>IF(Table1[[#This Row],[medv]]=0, "Undefined", ABS((N113-O113)/N113))*100</f>
        <v>14.385308818038045</v>
      </c>
      <c r="V113">
        <v>56</v>
      </c>
      <c r="W113">
        <v>31.152649466035129</v>
      </c>
      <c r="X113">
        <v>4.2473505339648696</v>
      </c>
    </row>
    <row r="114" spans="1:24" x14ac:dyDescent="0.3">
      <c r="A114">
        <v>0.26362999999999998</v>
      </c>
      <c r="B114">
        <v>0</v>
      </c>
      <c r="C114">
        <v>8.56</v>
      </c>
      <c r="D114">
        <v>0</v>
      </c>
      <c r="E114">
        <v>0.52</v>
      </c>
      <c r="F114">
        <v>6.2290000000000001</v>
      </c>
      <c r="G114">
        <v>91.2</v>
      </c>
      <c r="H114">
        <v>2.5451000000000001</v>
      </c>
      <c r="I114">
        <v>5</v>
      </c>
      <c r="J114">
        <v>384</v>
      </c>
      <c r="K114">
        <v>20.9</v>
      </c>
      <c r="L114">
        <v>391.23</v>
      </c>
      <c r="M114">
        <v>15.55</v>
      </c>
      <c r="N114">
        <v>19.399999999999999</v>
      </c>
      <c r="O114">
        <f t="shared" si="3"/>
        <v>19.772036695318729</v>
      </c>
      <c r="P114">
        <f>Table1[[#This Row],[medv]]-Table1[[#This Row],[pred_medv]]</f>
        <v>-0.37203669531873018</v>
      </c>
      <c r="Q114">
        <f>IF(Table1[[#This Row],[medv]]=0, "Undefined", ABS((N114-O114)/N114))*100</f>
        <v>1.9177149243233518</v>
      </c>
      <c r="V114">
        <v>57</v>
      </c>
      <c r="W114">
        <v>24.856869781555549</v>
      </c>
      <c r="X114">
        <v>-0.15686978155554954</v>
      </c>
    </row>
    <row r="115" spans="1:24" x14ac:dyDescent="0.3">
      <c r="A115">
        <v>0.10793</v>
      </c>
      <c r="B115">
        <v>0</v>
      </c>
      <c r="C115">
        <v>8.56</v>
      </c>
      <c r="D115">
        <v>0</v>
      </c>
      <c r="E115">
        <v>0.52</v>
      </c>
      <c r="F115">
        <v>6.1950000000000003</v>
      </c>
      <c r="G115">
        <v>54.4</v>
      </c>
      <c r="H115">
        <v>2.7778</v>
      </c>
      <c r="I115">
        <v>5</v>
      </c>
      <c r="J115">
        <v>384</v>
      </c>
      <c r="K115">
        <v>20.9</v>
      </c>
      <c r="L115">
        <v>393.49</v>
      </c>
      <c r="M115">
        <v>13</v>
      </c>
      <c r="N115">
        <v>21.7</v>
      </c>
      <c r="O115">
        <f t="shared" si="3"/>
        <v>20.649658642696821</v>
      </c>
      <c r="P115">
        <f>Table1[[#This Row],[medv]]-Table1[[#This Row],[pred_medv]]</f>
        <v>1.0503413573031786</v>
      </c>
      <c r="Q115">
        <f>IF(Table1[[#This Row],[medv]]=0, "Undefined", ABS((N115-O115)/N115))*100</f>
        <v>4.8402827525492107</v>
      </c>
      <c r="V115">
        <v>58</v>
      </c>
      <c r="W115">
        <v>33.109198061646758</v>
      </c>
      <c r="X115">
        <v>-1.5091980616467566</v>
      </c>
    </row>
    <row r="116" spans="1:24" x14ac:dyDescent="0.3">
      <c r="A116">
        <v>0.10084</v>
      </c>
      <c r="B116">
        <v>0</v>
      </c>
      <c r="C116">
        <v>10.01</v>
      </c>
      <c r="D116">
        <v>0</v>
      </c>
      <c r="E116">
        <v>0.54700000000000004</v>
      </c>
      <c r="F116">
        <v>6.7149999999999999</v>
      </c>
      <c r="G116">
        <v>81.599999999999994</v>
      </c>
      <c r="H116">
        <v>2.6775000000000002</v>
      </c>
      <c r="I116">
        <v>6</v>
      </c>
      <c r="J116">
        <v>432</v>
      </c>
      <c r="K116">
        <v>17.8</v>
      </c>
      <c r="L116">
        <v>395.59</v>
      </c>
      <c r="M116">
        <v>10.16</v>
      </c>
      <c r="N116">
        <v>22.8</v>
      </c>
      <c r="O116">
        <f t="shared" si="3"/>
        <v>26.525867437930643</v>
      </c>
      <c r="P116">
        <f>Table1[[#This Row],[medv]]-Table1[[#This Row],[pred_medv]]</f>
        <v>-3.725867437930642</v>
      </c>
      <c r="Q116">
        <f>IF(Table1[[#This Row],[medv]]=0, "Undefined", ABS((N116-O116)/N116))*100</f>
        <v>16.34152385057299</v>
      </c>
      <c r="V116">
        <v>59</v>
      </c>
      <c r="W116">
        <v>21.775379871488795</v>
      </c>
      <c r="X116">
        <v>1.5246201285112058</v>
      </c>
    </row>
    <row r="117" spans="1:24" x14ac:dyDescent="0.3">
      <c r="A117">
        <v>0.12329</v>
      </c>
      <c r="B117">
        <v>0</v>
      </c>
      <c r="C117">
        <v>10.01</v>
      </c>
      <c r="D117">
        <v>0</v>
      </c>
      <c r="E117">
        <v>0.54700000000000004</v>
      </c>
      <c r="F117">
        <v>5.9130000000000003</v>
      </c>
      <c r="G117">
        <v>92.9</v>
      </c>
      <c r="H117">
        <v>2.3534000000000002</v>
      </c>
      <c r="I117">
        <v>6</v>
      </c>
      <c r="J117">
        <v>432</v>
      </c>
      <c r="K117">
        <v>17.8</v>
      </c>
      <c r="L117">
        <v>394.95</v>
      </c>
      <c r="M117">
        <v>16.21</v>
      </c>
      <c r="N117">
        <v>18.8</v>
      </c>
      <c r="O117">
        <f t="shared" si="3"/>
        <v>20.773236376860218</v>
      </c>
      <c r="P117">
        <f>Table1[[#This Row],[medv]]-Table1[[#This Row],[pred_medv]]</f>
        <v>-1.9732363768602177</v>
      </c>
      <c r="Q117">
        <f>IF(Table1[[#This Row],[medv]]=0, "Undefined", ABS((N117-O117)/N117))*100</f>
        <v>10.495938174788391</v>
      </c>
      <c r="V117">
        <v>60</v>
      </c>
      <c r="W117">
        <v>21.084935550631023</v>
      </c>
      <c r="X117">
        <v>-1.4849355506310218</v>
      </c>
    </row>
    <row r="118" spans="1:24" x14ac:dyDescent="0.3">
      <c r="A118">
        <v>0.22212000000000001</v>
      </c>
      <c r="B118">
        <v>0</v>
      </c>
      <c r="C118">
        <v>10.01</v>
      </c>
      <c r="D118">
        <v>0</v>
      </c>
      <c r="E118">
        <v>0.54700000000000004</v>
      </c>
      <c r="F118">
        <v>6.0919999999999996</v>
      </c>
      <c r="G118">
        <v>95.4</v>
      </c>
      <c r="H118">
        <v>2.548</v>
      </c>
      <c r="I118">
        <v>6</v>
      </c>
      <c r="J118">
        <v>432</v>
      </c>
      <c r="K118">
        <v>17.8</v>
      </c>
      <c r="L118">
        <v>396.9</v>
      </c>
      <c r="M118">
        <v>17.09</v>
      </c>
      <c r="N118">
        <v>18.7</v>
      </c>
      <c r="O118">
        <f t="shared" si="3"/>
        <v>20.715483149702173</v>
      </c>
      <c r="P118">
        <f>Table1[[#This Row],[medv]]-Table1[[#This Row],[pred_medv]]</f>
        <v>-2.0154831497021739</v>
      </c>
      <c r="Q118">
        <f>IF(Table1[[#This Row],[medv]]=0, "Undefined", ABS((N118-O118)/N118))*100</f>
        <v>10.777984757765637</v>
      </c>
      <c r="V118">
        <v>61</v>
      </c>
      <c r="W118">
        <v>17.872580396884988</v>
      </c>
      <c r="X118">
        <v>0.82741960311501117</v>
      </c>
    </row>
    <row r="119" spans="1:24" x14ac:dyDescent="0.3">
      <c r="A119">
        <v>0.14230999999999999</v>
      </c>
      <c r="B119">
        <v>0</v>
      </c>
      <c r="C119">
        <v>10.01</v>
      </c>
      <c r="D119">
        <v>0</v>
      </c>
      <c r="E119">
        <v>0.54700000000000004</v>
      </c>
      <c r="F119">
        <v>6.2539999999999996</v>
      </c>
      <c r="G119">
        <v>84.2</v>
      </c>
      <c r="H119">
        <v>2.2565</v>
      </c>
      <c r="I119">
        <v>6</v>
      </c>
      <c r="J119">
        <v>432</v>
      </c>
      <c r="K119">
        <v>17.8</v>
      </c>
      <c r="L119">
        <v>388.74</v>
      </c>
      <c r="M119">
        <v>10.45</v>
      </c>
      <c r="N119">
        <v>18.5</v>
      </c>
      <c r="O119">
        <f t="shared" si="3"/>
        <v>25.172088812641121</v>
      </c>
      <c r="P119">
        <f>Table1[[#This Row],[medv]]-Table1[[#This Row],[pred_medv]]</f>
        <v>-6.6720888126411211</v>
      </c>
      <c r="Q119">
        <f>IF(Table1[[#This Row],[medv]]=0, "Undefined", ABS((N119-O119)/N119))*100</f>
        <v>36.065344933195249</v>
      </c>
      <c r="V119">
        <v>62</v>
      </c>
      <c r="W119">
        <v>18.511102080220915</v>
      </c>
      <c r="X119">
        <v>-2.5111020802209154</v>
      </c>
    </row>
    <row r="120" spans="1:24" x14ac:dyDescent="0.3">
      <c r="A120">
        <v>0.17133999999999999</v>
      </c>
      <c r="B120">
        <v>0</v>
      </c>
      <c r="C120">
        <v>10.01</v>
      </c>
      <c r="D120">
        <v>0</v>
      </c>
      <c r="E120">
        <v>0.54700000000000004</v>
      </c>
      <c r="F120">
        <v>5.9279999999999999</v>
      </c>
      <c r="G120">
        <v>88.2</v>
      </c>
      <c r="H120">
        <v>2.4630999999999998</v>
      </c>
      <c r="I120">
        <v>6</v>
      </c>
      <c r="J120">
        <v>432</v>
      </c>
      <c r="K120">
        <v>17.8</v>
      </c>
      <c r="L120">
        <v>344.91</v>
      </c>
      <c r="M120">
        <v>15.76</v>
      </c>
      <c r="N120">
        <v>18.3</v>
      </c>
      <c r="O120">
        <f t="shared" si="3"/>
        <v>20.430255909460655</v>
      </c>
      <c r="P120">
        <f>Table1[[#This Row],[medv]]-Table1[[#This Row],[pred_medv]]</f>
        <v>-2.1302559094606544</v>
      </c>
      <c r="Q120">
        <f>IF(Table1[[#This Row],[medv]]=0, "Undefined", ABS((N120-O120)/N120))*100</f>
        <v>11.640742674648385</v>
      </c>
      <c r="V120">
        <v>63</v>
      </c>
      <c r="W120">
        <v>23.987428564909418</v>
      </c>
      <c r="X120">
        <v>-1.787428564909419</v>
      </c>
    </row>
    <row r="121" spans="1:24" x14ac:dyDescent="0.3">
      <c r="A121">
        <v>0.13158</v>
      </c>
      <c r="B121">
        <v>0</v>
      </c>
      <c r="C121">
        <v>10.01</v>
      </c>
      <c r="D121">
        <v>0</v>
      </c>
      <c r="E121">
        <v>0.54700000000000004</v>
      </c>
      <c r="F121">
        <v>6.1760000000000002</v>
      </c>
      <c r="G121">
        <v>72.5</v>
      </c>
      <c r="H121">
        <v>2.7301000000000002</v>
      </c>
      <c r="I121">
        <v>6</v>
      </c>
      <c r="J121">
        <v>432</v>
      </c>
      <c r="K121">
        <v>17.8</v>
      </c>
      <c r="L121">
        <v>393.3</v>
      </c>
      <c r="M121">
        <v>12.04</v>
      </c>
      <c r="N121">
        <v>21.2</v>
      </c>
      <c r="O121">
        <f t="shared" si="3"/>
        <v>23.377246256949562</v>
      </c>
      <c r="P121">
        <f>Table1[[#This Row],[medv]]-Table1[[#This Row],[pred_medv]]</f>
        <v>-2.1772462569495623</v>
      </c>
      <c r="Q121">
        <f>IF(Table1[[#This Row],[medv]]=0, "Undefined", ABS((N121-O121)/N121))*100</f>
        <v>10.27002951391303</v>
      </c>
      <c r="V121">
        <v>64</v>
      </c>
      <c r="W121">
        <v>22.554088688883393</v>
      </c>
      <c r="X121">
        <v>2.4459113111166069</v>
      </c>
    </row>
    <row r="122" spans="1:24" x14ac:dyDescent="0.3">
      <c r="A122">
        <v>0.15098</v>
      </c>
      <c r="B122">
        <v>0</v>
      </c>
      <c r="C122">
        <v>10.01</v>
      </c>
      <c r="D122">
        <v>0</v>
      </c>
      <c r="E122">
        <v>0.54700000000000004</v>
      </c>
      <c r="F122">
        <v>6.0209999999999999</v>
      </c>
      <c r="G122">
        <v>82.6</v>
      </c>
      <c r="H122">
        <v>2.7473999999999998</v>
      </c>
      <c r="I122">
        <v>6</v>
      </c>
      <c r="J122">
        <v>432</v>
      </c>
      <c r="K122">
        <v>17.8</v>
      </c>
      <c r="L122">
        <v>394.51</v>
      </c>
      <c r="M122">
        <v>10.3</v>
      </c>
      <c r="N122">
        <v>19.2</v>
      </c>
      <c r="O122">
        <f t="shared" si="3"/>
        <v>23.690432606220533</v>
      </c>
      <c r="P122">
        <f>Table1[[#This Row],[medv]]-Table1[[#This Row],[pred_medv]]</f>
        <v>-4.4904326062205335</v>
      </c>
      <c r="Q122">
        <f>IF(Table1[[#This Row],[medv]]=0, "Undefined", ABS((N122-O122)/N122))*100</f>
        <v>23.387669824065281</v>
      </c>
      <c r="V122">
        <v>65</v>
      </c>
      <c r="W122">
        <v>23.373086442266295</v>
      </c>
      <c r="X122">
        <v>9.6269135577337046</v>
      </c>
    </row>
    <row r="123" spans="1:24" x14ac:dyDescent="0.3">
      <c r="A123">
        <v>0.13058</v>
      </c>
      <c r="B123">
        <v>0</v>
      </c>
      <c r="C123">
        <v>10.01</v>
      </c>
      <c r="D123">
        <v>0</v>
      </c>
      <c r="E123">
        <v>0.54700000000000004</v>
      </c>
      <c r="F123">
        <v>5.8719999999999999</v>
      </c>
      <c r="G123">
        <v>73.099999999999994</v>
      </c>
      <c r="H123">
        <v>2.4775</v>
      </c>
      <c r="I123">
        <v>6</v>
      </c>
      <c r="J123">
        <v>432</v>
      </c>
      <c r="K123">
        <v>17.8</v>
      </c>
      <c r="L123">
        <v>338.63</v>
      </c>
      <c r="M123">
        <v>15.37</v>
      </c>
      <c r="N123">
        <v>20.399999999999999</v>
      </c>
      <c r="O123">
        <f t="shared" si="3"/>
        <v>20.335783642583138</v>
      </c>
      <c r="P123">
        <f>Table1[[#This Row],[medv]]-Table1[[#This Row],[pred_medv]]</f>
        <v>6.4216357416860603E-2</v>
      </c>
      <c r="Q123">
        <f>IF(Table1[[#This Row],[medv]]=0, "Undefined", ABS((N123-O123)/N123))*100</f>
        <v>0.31478606576892454</v>
      </c>
      <c r="V123">
        <v>66</v>
      </c>
      <c r="W123">
        <v>30.361483581462551</v>
      </c>
      <c r="X123">
        <v>-6.8614835814625508</v>
      </c>
    </row>
    <row r="124" spans="1:24" x14ac:dyDescent="0.3">
      <c r="A124">
        <v>0.14476</v>
      </c>
      <c r="B124">
        <v>0</v>
      </c>
      <c r="C124">
        <v>10.01</v>
      </c>
      <c r="D124">
        <v>0</v>
      </c>
      <c r="E124">
        <v>0.54700000000000004</v>
      </c>
      <c r="F124">
        <v>5.7309999999999999</v>
      </c>
      <c r="G124">
        <v>65.2</v>
      </c>
      <c r="H124">
        <v>2.7591999999999999</v>
      </c>
      <c r="I124">
        <v>6</v>
      </c>
      <c r="J124">
        <v>432</v>
      </c>
      <c r="K124">
        <v>17.8</v>
      </c>
      <c r="L124">
        <v>391.5</v>
      </c>
      <c r="M124">
        <v>13.61</v>
      </c>
      <c r="N124">
        <v>19.3</v>
      </c>
      <c r="O124">
        <f t="shared" si="3"/>
        <v>20.791808732015738</v>
      </c>
      <c r="P124">
        <f>Table1[[#This Row],[medv]]-Table1[[#This Row],[pred_medv]]</f>
        <v>-1.4918087320157376</v>
      </c>
      <c r="Q124">
        <f>IF(Table1[[#This Row],[medv]]=0, "Undefined", ABS((N124-O124)/N124))*100</f>
        <v>7.729578922361334</v>
      </c>
      <c r="V124">
        <v>67</v>
      </c>
      <c r="W124">
        <v>25.530565115204215</v>
      </c>
      <c r="X124">
        <v>-6.1305651152042167</v>
      </c>
    </row>
    <row r="125" spans="1:24" x14ac:dyDescent="0.3">
      <c r="A125">
        <v>6.8989999999999996E-2</v>
      </c>
      <c r="B125">
        <v>0</v>
      </c>
      <c r="C125">
        <v>25.65</v>
      </c>
      <c r="D125">
        <v>0</v>
      </c>
      <c r="E125">
        <v>0.58099999999999996</v>
      </c>
      <c r="F125">
        <v>5.87</v>
      </c>
      <c r="G125">
        <v>69.7</v>
      </c>
      <c r="H125">
        <v>2.2576999999999998</v>
      </c>
      <c r="I125">
        <v>2</v>
      </c>
      <c r="J125">
        <v>188</v>
      </c>
      <c r="K125">
        <v>19.100000000000001</v>
      </c>
      <c r="L125">
        <v>389.15</v>
      </c>
      <c r="M125">
        <v>14.37</v>
      </c>
      <c r="N125">
        <v>22</v>
      </c>
      <c r="O125">
        <f t="shared" si="3"/>
        <v>21.91632071053483</v>
      </c>
      <c r="P125">
        <f>Table1[[#This Row],[medv]]-Table1[[#This Row],[pred_medv]]</f>
        <v>8.3679289465170115E-2</v>
      </c>
      <c r="Q125">
        <f>IF(Table1[[#This Row],[medv]]=0, "Undefined", ABS((N125-O125)/N125))*100</f>
        <v>0.38036040665986415</v>
      </c>
      <c r="V125">
        <v>68</v>
      </c>
      <c r="W125">
        <v>21.113385641796775</v>
      </c>
      <c r="X125">
        <v>0.88661435820322509</v>
      </c>
    </row>
    <row r="126" spans="1:24" x14ac:dyDescent="0.3">
      <c r="A126">
        <v>7.1650000000000005E-2</v>
      </c>
      <c r="B126">
        <v>0</v>
      </c>
      <c r="C126">
        <v>25.65</v>
      </c>
      <c r="D126">
        <v>0</v>
      </c>
      <c r="E126">
        <v>0.58099999999999996</v>
      </c>
      <c r="F126">
        <v>6.0039999999999996</v>
      </c>
      <c r="G126">
        <v>84.1</v>
      </c>
      <c r="H126">
        <v>2.1974</v>
      </c>
      <c r="I126">
        <v>2</v>
      </c>
      <c r="J126">
        <v>188</v>
      </c>
      <c r="K126">
        <v>19.100000000000001</v>
      </c>
      <c r="L126">
        <v>377.67</v>
      </c>
      <c r="M126">
        <v>14.27</v>
      </c>
      <c r="N126">
        <v>20.3</v>
      </c>
      <c r="O126">
        <f t="shared" si="3"/>
        <v>22.471077767448467</v>
      </c>
      <c r="P126">
        <f>Table1[[#This Row],[medv]]-Table1[[#This Row],[pred_medv]]</f>
        <v>-2.171077767448466</v>
      </c>
      <c r="Q126">
        <f>IF(Table1[[#This Row],[medv]]=0, "Undefined", ABS((N126-O126)/N126))*100</f>
        <v>10.69496437166732</v>
      </c>
      <c r="V126">
        <v>69</v>
      </c>
      <c r="W126">
        <v>17.421537856548269</v>
      </c>
      <c r="X126">
        <v>-2.1537856548270895E-2</v>
      </c>
    </row>
    <row r="127" spans="1:24" x14ac:dyDescent="0.3">
      <c r="A127">
        <v>9.2990000000000003E-2</v>
      </c>
      <c r="B127">
        <v>0</v>
      </c>
      <c r="C127">
        <v>25.65</v>
      </c>
      <c r="D127">
        <v>0</v>
      </c>
      <c r="E127">
        <v>0.58099999999999996</v>
      </c>
      <c r="F127">
        <v>5.9610000000000003</v>
      </c>
      <c r="G127">
        <v>92.9</v>
      </c>
      <c r="H127">
        <v>2.0869</v>
      </c>
      <c r="I127">
        <v>2</v>
      </c>
      <c r="J127">
        <v>188</v>
      </c>
      <c r="K127">
        <v>19.100000000000001</v>
      </c>
      <c r="L127">
        <v>378.09</v>
      </c>
      <c r="M127">
        <v>17.93</v>
      </c>
      <c r="N127">
        <v>20.5</v>
      </c>
      <c r="O127">
        <f t="shared" si="3"/>
        <v>20.557385558477201</v>
      </c>
      <c r="P127">
        <f>Table1[[#This Row],[medv]]-Table1[[#This Row],[pred_medv]]</f>
        <v>-5.7385558477200505E-2</v>
      </c>
      <c r="Q127">
        <f>IF(Table1[[#This Row],[medv]]=0, "Undefined", ABS((N127-O127)/N127))*100</f>
        <v>0.27992955354731958</v>
      </c>
      <c r="V127">
        <v>70</v>
      </c>
      <c r="W127">
        <v>20.784836326695878</v>
      </c>
      <c r="X127">
        <v>0.11516367330412081</v>
      </c>
    </row>
    <row r="128" spans="1:24" x14ac:dyDescent="0.3">
      <c r="A128">
        <v>0.15038000000000001</v>
      </c>
      <c r="B128">
        <v>0</v>
      </c>
      <c r="C128">
        <v>25.65</v>
      </c>
      <c r="D128">
        <v>0</v>
      </c>
      <c r="E128">
        <v>0.58099999999999996</v>
      </c>
      <c r="F128">
        <v>5.8559999999999999</v>
      </c>
      <c r="G128">
        <v>97</v>
      </c>
      <c r="H128">
        <v>1.9443999999999999</v>
      </c>
      <c r="I128">
        <v>2</v>
      </c>
      <c r="J128">
        <v>188</v>
      </c>
      <c r="K128">
        <v>19.100000000000001</v>
      </c>
      <c r="L128">
        <v>370.31</v>
      </c>
      <c r="M128">
        <v>25.41</v>
      </c>
      <c r="N128">
        <v>17.3</v>
      </c>
      <c r="O128">
        <f t="shared" si="3"/>
        <v>16.366619774230251</v>
      </c>
      <c r="P128">
        <f>Table1[[#This Row],[medv]]-Table1[[#This Row],[pred_medv]]</f>
        <v>0.93338022576974922</v>
      </c>
      <c r="Q128">
        <f>IF(Table1[[#This Row],[medv]]=0, "Undefined", ABS((N128-O128)/N128))*100</f>
        <v>5.3952614206343883</v>
      </c>
      <c r="V128">
        <v>71</v>
      </c>
      <c r="W128">
        <v>25.201488594435698</v>
      </c>
      <c r="X128">
        <v>-1.001488594435699</v>
      </c>
    </row>
    <row r="129" spans="1:24" x14ac:dyDescent="0.3">
      <c r="A129">
        <v>9.8489999999999994E-2</v>
      </c>
      <c r="B129">
        <v>0</v>
      </c>
      <c r="C129">
        <v>25.65</v>
      </c>
      <c r="D129">
        <v>0</v>
      </c>
      <c r="E129">
        <v>0.58099999999999996</v>
      </c>
      <c r="F129">
        <v>5.8789999999999996</v>
      </c>
      <c r="G129">
        <v>95.8</v>
      </c>
      <c r="H129">
        <v>2.0063</v>
      </c>
      <c r="I129">
        <v>2</v>
      </c>
      <c r="J129">
        <v>188</v>
      </c>
      <c r="K129">
        <v>19.100000000000001</v>
      </c>
      <c r="L129">
        <v>379.38</v>
      </c>
      <c r="M129">
        <v>17.579999999999998</v>
      </c>
      <c r="N129">
        <v>18.8</v>
      </c>
      <c r="O129">
        <f t="shared" si="3"/>
        <v>20.560998191935735</v>
      </c>
      <c r="P129">
        <f>Table1[[#This Row],[medv]]-Table1[[#This Row],[pred_medv]]</f>
        <v>-1.7609981919357338</v>
      </c>
      <c r="Q129">
        <f>IF(Table1[[#This Row],[medv]]=0, "Undefined", ABS((N129-O129)/N129))*100</f>
        <v>9.3670116592326274</v>
      </c>
      <c r="V129">
        <v>72</v>
      </c>
      <c r="W129">
        <v>21.742657704530558</v>
      </c>
      <c r="X129">
        <v>-4.2657704530558505E-2</v>
      </c>
    </row>
    <row r="130" spans="1:24" x14ac:dyDescent="0.3">
      <c r="A130">
        <v>0.16902</v>
      </c>
      <c r="B130">
        <v>0</v>
      </c>
      <c r="C130">
        <v>25.65</v>
      </c>
      <c r="D130">
        <v>0</v>
      </c>
      <c r="E130">
        <v>0.58099999999999996</v>
      </c>
      <c r="F130">
        <v>5.9859999999999998</v>
      </c>
      <c r="G130">
        <v>88.4</v>
      </c>
      <c r="H130">
        <v>1.9928999999999999</v>
      </c>
      <c r="I130">
        <v>2</v>
      </c>
      <c r="J130">
        <v>188</v>
      </c>
      <c r="K130">
        <v>19.100000000000001</v>
      </c>
      <c r="L130">
        <v>385.02</v>
      </c>
      <c r="M130">
        <v>14.81</v>
      </c>
      <c r="N130">
        <v>21.4</v>
      </c>
      <c r="O130">
        <f t="shared" si="3"/>
        <v>22.481784461712486</v>
      </c>
      <c r="P130">
        <f>Table1[[#This Row],[medv]]-Table1[[#This Row],[pred_medv]]</f>
        <v>-1.0817844617124877</v>
      </c>
      <c r="Q130">
        <f>IF(Table1[[#This Row],[medv]]=0, "Undefined", ABS((N130-O130)/N130))*100</f>
        <v>5.0550675780957368</v>
      </c>
      <c r="V130">
        <v>73</v>
      </c>
      <c r="W130">
        <v>24.557449572150205</v>
      </c>
      <c r="X130">
        <v>-1.7574495721502039</v>
      </c>
    </row>
    <row r="131" spans="1:24" x14ac:dyDescent="0.3">
      <c r="A131">
        <v>0.38735000000000003</v>
      </c>
      <c r="B131">
        <v>0</v>
      </c>
      <c r="C131">
        <v>25.65</v>
      </c>
      <c r="D131">
        <v>0</v>
      </c>
      <c r="E131">
        <v>0.58099999999999996</v>
      </c>
      <c r="F131">
        <v>5.6130000000000004</v>
      </c>
      <c r="G131">
        <v>95.6</v>
      </c>
      <c r="H131">
        <v>1.7572000000000001</v>
      </c>
      <c r="I131">
        <v>2</v>
      </c>
      <c r="J131">
        <v>188</v>
      </c>
      <c r="K131">
        <v>19.100000000000001</v>
      </c>
      <c r="L131">
        <v>359.29</v>
      </c>
      <c r="M131">
        <v>27.26</v>
      </c>
      <c r="N131">
        <v>15.7</v>
      </c>
      <c r="O131">
        <f t="shared" si="3"/>
        <v>14.617066327799051</v>
      </c>
      <c r="P131">
        <f>Table1[[#This Row],[medv]]-Table1[[#This Row],[pred_medv]]</f>
        <v>1.0829336722009479</v>
      </c>
      <c r="Q131">
        <f>IF(Table1[[#This Row],[medv]]=0, "Undefined", ABS((N131-O131)/N131))*100</f>
        <v>6.897666701916866</v>
      </c>
      <c r="V131">
        <v>74</v>
      </c>
      <c r="W131">
        <v>24.042957120125731</v>
      </c>
      <c r="X131">
        <v>-0.64295712012573247</v>
      </c>
    </row>
    <row r="132" spans="1:24" x14ac:dyDescent="0.3">
      <c r="A132">
        <v>0.25914999999999999</v>
      </c>
      <c r="B132">
        <v>0</v>
      </c>
      <c r="C132">
        <v>21.89</v>
      </c>
      <c r="D132">
        <v>0</v>
      </c>
      <c r="E132">
        <v>0.624</v>
      </c>
      <c r="F132">
        <v>5.6929999999999996</v>
      </c>
      <c r="G132">
        <v>96</v>
      </c>
      <c r="H132">
        <v>1.7883</v>
      </c>
      <c r="I132">
        <v>4</v>
      </c>
      <c r="J132">
        <v>437</v>
      </c>
      <c r="K132">
        <v>21.2</v>
      </c>
      <c r="L132">
        <v>392.11</v>
      </c>
      <c r="M132">
        <v>17.190000000000001</v>
      </c>
      <c r="N132">
        <v>16.2</v>
      </c>
      <c r="O132">
        <f t="shared" si="3"/>
        <v>15.178766839627997</v>
      </c>
      <c r="P132">
        <f>Table1[[#This Row],[medv]]-Table1[[#This Row],[pred_medv]]</f>
        <v>1.0212331603720024</v>
      </c>
      <c r="Q132">
        <f>IF(Table1[[#This Row],[medv]]=0, "Undefined", ABS((N132-O132)/N132))*100</f>
        <v>6.3039083973580397</v>
      </c>
      <c r="V132">
        <v>75</v>
      </c>
      <c r="W132">
        <v>25.504997163713668</v>
      </c>
      <c r="X132">
        <v>-1.4049971637136665</v>
      </c>
    </row>
    <row r="133" spans="1:24" x14ac:dyDescent="0.3">
      <c r="A133">
        <v>0.32543</v>
      </c>
      <c r="B133">
        <v>0</v>
      </c>
      <c r="C133">
        <v>21.89</v>
      </c>
      <c r="D133">
        <v>0</v>
      </c>
      <c r="E133">
        <v>0.624</v>
      </c>
      <c r="F133">
        <v>6.431</v>
      </c>
      <c r="G133">
        <v>98.8</v>
      </c>
      <c r="H133">
        <v>1.8125</v>
      </c>
      <c r="I133">
        <v>4</v>
      </c>
      <c r="J133">
        <v>437</v>
      </c>
      <c r="K133">
        <v>21.2</v>
      </c>
      <c r="L133">
        <v>396.9</v>
      </c>
      <c r="M133">
        <v>15.39</v>
      </c>
      <c r="N133">
        <v>18</v>
      </c>
      <c r="O133">
        <f t="shared" ref="O133:O196" si="4">A$2+SUMPRODUCT(B$2:N$2, A133:M133)</f>
        <v>18.93868592380656</v>
      </c>
      <c r="P133">
        <f>Table1[[#This Row],[medv]]-Table1[[#This Row],[pred_medv]]</f>
        <v>-0.93868592380655969</v>
      </c>
      <c r="Q133">
        <f>IF(Table1[[#This Row],[medv]]=0, "Undefined", ABS((N133-O133)/N133))*100</f>
        <v>5.2149217989253316</v>
      </c>
      <c r="V133">
        <v>76</v>
      </c>
      <c r="W133">
        <v>23.966930200264258</v>
      </c>
      <c r="X133">
        <v>-2.5669302002642596</v>
      </c>
    </row>
    <row r="134" spans="1:24" x14ac:dyDescent="0.3">
      <c r="A134">
        <v>0.88124999999999998</v>
      </c>
      <c r="B134">
        <v>0</v>
      </c>
      <c r="C134">
        <v>21.89</v>
      </c>
      <c r="D134">
        <v>0</v>
      </c>
      <c r="E134">
        <v>0.624</v>
      </c>
      <c r="F134">
        <v>5.6369999999999996</v>
      </c>
      <c r="G134">
        <v>94.7</v>
      </c>
      <c r="H134">
        <v>1.9799</v>
      </c>
      <c r="I134">
        <v>4</v>
      </c>
      <c r="J134">
        <v>437</v>
      </c>
      <c r="K134">
        <v>21.2</v>
      </c>
      <c r="L134">
        <v>396.9</v>
      </c>
      <c r="M134">
        <v>18.34</v>
      </c>
      <c r="N134">
        <v>14.3</v>
      </c>
      <c r="O134">
        <f t="shared" si="4"/>
        <v>14.055732851034612</v>
      </c>
      <c r="P134">
        <f>Table1[[#This Row],[medv]]-Table1[[#This Row],[pred_medv]]</f>
        <v>0.24426714896538826</v>
      </c>
      <c r="Q134">
        <f>IF(Table1[[#This Row],[medv]]=0, "Undefined", ABS((N134-O134)/N134))*100</f>
        <v>1.7081618808768411</v>
      </c>
      <c r="V134">
        <v>77</v>
      </c>
      <c r="W134">
        <v>22.945454031329028</v>
      </c>
      <c r="X134">
        <v>-2.9454540313290281</v>
      </c>
    </row>
    <row r="135" spans="1:24" x14ac:dyDescent="0.3">
      <c r="A135">
        <v>0.34005999999999997</v>
      </c>
      <c r="B135">
        <v>0</v>
      </c>
      <c r="C135">
        <v>21.89</v>
      </c>
      <c r="D135">
        <v>0</v>
      </c>
      <c r="E135">
        <v>0.624</v>
      </c>
      <c r="F135">
        <v>6.4580000000000002</v>
      </c>
      <c r="G135">
        <v>98.9</v>
      </c>
      <c r="H135">
        <v>2.1185</v>
      </c>
      <c r="I135">
        <v>4</v>
      </c>
      <c r="J135">
        <v>437</v>
      </c>
      <c r="K135">
        <v>21.2</v>
      </c>
      <c r="L135">
        <v>395.04</v>
      </c>
      <c r="M135">
        <v>12.6</v>
      </c>
      <c r="N135">
        <v>19.2</v>
      </c>
      <c r="O135">
        <f t="shared" si="4"/>
        <v>20.035273989263175</v>
      </c>
      <c r="P135">
        <f>Table1[[#This Row],[medv]]-Table1[[#This Row],[pred_medv]]</f>
        <v>-0.83527398926317531</v>
      </c>
      <c r="Q135">
        <f>IF(Table1[[#This Row],[medv]]=0, "Undefined", ABS((N135-O135)/N135))*100</f>
        <v>4.3503853607457055</v>
      </c>
      <c r="V135">
        <v>78</v>
      </c>
      <c r="W135">
        <v>23.356998184348285</v>
      </c>
      <c r="X135">
        <v>-2.5569981843482843</v>
      </c>
    </row>
    <row r="136" spans="1:24" x14ac:dyDescent="0.3">
      <c r="A136">
        <v>1.1929399999999999</v>
      </c>
      <c r="B136">
        <v>0</v>
      </c>
      <c r="C136">
        <v>21.89</v>
      </c>
      <c r="D136">
        <v>0</v>
      </c>
      <c r="E136">
        <v>0.624</v>
      </c>
      <c r="F136">
        <v>6.3259999999999996</v>
      </c>
      <c r="G136">
        <v>97.7</v>
      </c>
      <c r="H136">
        <v>2.2709999999999999</v>
      </c>
      <c r="I136">
        <v>4</v>
      </c>
      <c r="J136">
        <v>437</v>
      </c>
      <c r="K136">
        <v>21.2</v>
      </c>
      <c r="L136">
        <v>396.9</v>
      </c>
      <c r="M136">
        <v>12.26</v>
      </c>
      <c r="N136">
        <v>19.600000000000001</v>
      </c>
      <c r="O136">
        <f t="shared" si="4"/>
        <v>19.41013402093018</v>
      </c>
      <c r="P136">
        <f>Table1[[#This Row],[medv]]-Table1[[#This Row],[pred_medv]]</f>
        <v>0.18986597906982183</v>
      </c>
      <c r="Q136">
        <f>IF(Table1[[#This Row],[medv]]=0, "Undefined", ABS((N136-O136)/N136))*100</f>
        <v>0.96870397484602966</v>
      </c>
      <c r="V136">
        <v>79</v>
      </c>
      <c r="W136">
        <v>21.261982662306259</v>
      </c>
      <c r="X136">
        <v>-6.1982662306260039E-2</v>
      </c>
    </row>
    <row r="137" spans="1:24" x14ac:dyDescent="0.3">
      <c r="A137">
        <v>0.59004999999999996</v>
      </c>
      <c r="B137">
        <v>0</v>
      </c>
      <c r="C137">
        <v>21.89</v>
      </c>
      <c r="D137">
        <v>0</v>
      </c>
      <c r="E137">
        <v>0.624</v>
      </c>
      <c r="F137">
        <v>6.3719999999999999</v>
      </c>
      <c r="G137">
        <v>97.9</v>
      </c>
      <c r="H137">
        <v>2.3273999999999999</v>
      </c>
      <c r="I137">
        <v>4</v>
      </c>
      <c r="J137">
        <v>437</v>
      </c>
      <c r="K137">
        <v>21.2</v>
      </c>
      <c r="L137">
        <v>385.76</v>
      </c>
      <c r="M137">
        <v>11.12</v>
      </c>
      <c r="N137">
        <v>23</v>
      </c>
      <c r="O137">
        <f t="shared" si="4"/>
        <v>20.061915661891042</v>
      </c>
      <c r="P137">
        <f>Table1[[#This Row],[medv]]-Table1[[#This Row],[pred_medv]]</f>
        <v>2.9380843381089576</v>
      </c>
      <c r="Q137">
        <f>IF(Table1[[#This Row],[medv]]=0, "Undefined", ABS((N137-O137)/N137))*100</f>
        <v>12.774279730908511</v>
      </c>
      <c r="V137">
        <v>80</v>
      </c>
      <c r="W137">
        <v>22.428173731801518</v>
      </c>
      <c r="X137">
        <v>-2.1281737318015175</v>
      </c>
    </row>
    <row r="138" spans="1:24" x14ac:dyDescent="0.3">
      <c r="A138">
        <v>0.32982</v>
      </c>
      <c r="B138">
        <v>0</v>
      </c>
      <c r="C138">
        <v>21.89</v>
      </c>
      <c r="D138">
        <v>0</v>
      </c>
      <c r="E138">
        <v>0.624</v>
      </c>
      <c r="F138">
        <v>5.8220000000000001</v>
      </c>
      <c r="G138">
        <v>95.4</v>
      </c>
      <c r="H138">
        <v>2.4699</v>
      </c>
      <c r="I138">
        <v>4</v>
      </c>
      <c r="J138">
        <v>437</v>
      </c>
      <c r="K138">
        <v>21.2</v>
      </c>
      <c r="L138">
        <v>388.69</v>
      </c>
      <c r="M138">
        <v>15.03</v>
      </c>
      <c r="N138">
        <v>18.399999999999999</v>
      </c>
      <c r="O138">
        <f t="shared" si="4"/>
        <v>15.758076731274198</v>
      </c>
      <c r="P138">
        <f>Table1[[#This Row],[medv]]-Table1[[#This Row],[pred_medv]]</f>
        <v>2.641923268725801</v>
      </c>
      <c r="Q138">
        <f>IF(Table1[[#This Row],[medv]]=0, "Undefined", ABS((N138-O138)/N138))*100</f>
        <v>14.358278634379355</v>
      </c>
      <c r="V138">
        <v>81</v>
      </c>
      <c r="W138">
        <v>28.405769682084092</v>
      </c>
      <c r="X138">
        <v>-0.4057696820840917</v>
      </c>
    </row>
    <row r="139" spans="1:24" x14ac:dyDescent="0.3">
      <c r="A139">
        <v>0.97616999999999998</v>
      </c>
      <c r="B139">
        <v>0</v>
      </c>
      <c r="C139">
        <v>21.89</v>
      </c>
      <c r="D139">
        <v>0</v>
      </c>
      <c r="E139">
        <v>0.624</v>
      </c>
      <c r="F139">
        <v>5.7569999999999997</v>
      </c>
      <c r="G139">
        <v>98.4</v>
      </c>
      <c r="H139">
        <v>2.3460000000000001</v>
      </c>
      <c r="I139">
        <v>4</v>
      </c>
      <c r="J139">
        <v>437</v>
      </c>
      <c r="K139">
        <v>21.2</v>
      </c>
      <c r="L139">
        <v>262.76</v>
      </c>
      <c r="M139">
        <v>17.309999999999999</v>
      </c>
      <c r="N139">
        <v>15.6</v>
      </c>
      <c r="O139">
        <f t="shared" si="4"/>
        <v>13.256452381605314</v>
      </c>
      <c r="P139">
        <f>Table1[[#This Row],[medv]]-Table1[[#This Row],[pred_medv]]</f>
        <v>2.3435476183946857</v>
      </c>
      <c r="Q139">
        <f>IF(Table1[[#This Row],[medv]]=0, "Undefined", ABS((N139-O139)/N139))*100</f>
        <v>15.022741143555679</v>
      </c>
      <c r="V139">
        <v>82</v>
      </c>
      <c r="W139">
        <v>26.994860862319754</v>
      </c>
      <c r="X139">
        <v>-3.0948608623197558</v>
      </c>
    </row>
    <row r="140" spans="1:24" x14ac:dyDescent="0.3">
      <c r="A140">
        <v>0.55778000000000005</v>
      </c>
      <c r="B140">
        <v>0</v>
      </c>
      <c r="C140">
        <v>21.89</v>
      </c>
      <c r="D140">
        <v>0</v>
      </c>
      <c r="E140">
        <v>0.624</v>
      </c>
      <c r="F140">
        <v>6.335</v>
      </c>
      <c r="G140">
        <v>98.2</v>
      </c>
      <c r="H140">
        <v>2.1107</v>
      </c>
      <c r="I140">
        <v>4</v>
      </c>
      <c r="J140">
        <v>437</v>
      </c>
      <c r="K140">
        <v>21.2</v>
      </c>
      <c r="L140">
        <v>394.67</v>
      </c>
      <c r="M140">
        <v>16.96</v>
      </c>
      <c r="N140">
        <v>18.100000000000001</v>
      </c>
      <c r="O140">
        <f t="shared" si="4"/>
        <v>17.262777349883621</v>
      </c>
      <c r="P140">
        <f>Table1[[#This Row],[medv]]-Table1[[#This Row],[pred_medv]]</f>
        <v>0.83722265011638086</v>
      </c>
      <c r="Q140">
        <f>IF(Table1[[#This Row],[medv]]=0, "Undefined", ABS((N140-O140)/N140))*100</f>
        <v>4.6255395034054185</v>
      </c>
      <c r="V140">
        <v>83</v>
      </c>
      <c r="W140">
        <v>26.035762968388955</v>
      </c>
      <c r="X140">
        <v>-1.2357629683889542</v>
      </c>
    </row>
    <row r="141" spans="1:24" x14ac:dyDescent="0.3">
      <c r="A141">
        <v>0.32263999999999998</v>
      </c>
      <c r="B141">
        <v>0</v>
      </c>
      <c r="C141">
        <v>21.89</v>
      </c>
      <c r="D141">
        <v>0</v>
      </c>
      <c r="E141">
        <v>0.624</v>
      </c>
      <c r="F141">
        <v>5.9420000000000002</v>
      </c>
      <c r="G141">
        <v>93.5</v>
      </c>
      <c r="H141">
        <v>1.9669000000000001</v>
      </c>
      <c r="I141">
        <v>4</v>
      </c>
      <c r="J141">
        <v>437</v>
      </c>
      <c r="K141">
        <v>21.2</v>
      </c>
      <c r="L141">
        <v>378.25</v>
      </c>
      <c r="M141">
        <v>16.899999999999999</v>
      </c>
      <c r="N141">
        <v>17.399999999999999</v>
      </c>
      <c r="O141">
        <f t="shared" si="4"/>
        <v>15.878418834192672</v>
      </c>
      <c r="P141">
        <f>Table1[[#This Row],[medv]]-Table1[[#This Row],[pred_medv]]</f>
        <v>1.5215811658073264</v>
      </c>
      <c r="Q141">
        <f>IF(Table1[[#This Row],[medv]]=0, "Undefined", ABS((N141-O141)/N141))*100</f>
        <v>8.7447193437202664</v>
      </c>
      <c r="V141">
        <v>84</v>
      </c>
      <c r="W141">
        <v>25.058734819221396</v>
      </c>
      <c r="X141">
        <v>-2.1587348192213973</v>
      </c>
    </row>
    <row r="142" spans="1:24" x14ac:dyDescent="0.3">
      <c r="A142">
        <v>0.35232999999999998</v>
      </c>
      <c r="B142">
        <v>0</v>
      </c>
      <c r="C142">
        <v>21.89</v>
      </c>
      <c r="D142">
        <v>0</v>
      </c>
      <c r="E142">
        <v>0.624</v>
      </c>
      <c r="F142">
        <v>6.4539999999999997</v>
      </c>
      <c r="G142">
        <v>98.4</v>
      </c>
      <c r="H142">
        <v>1.8498000000000001</v>
      </c>
      <c r="I142">
        <v>4</v>
      </c>
      <c r="J142">
        <v>437</v>
      </c>
      <c r="K142">
        <v>21.2</v>
      </c>
      <c r="L142">
        <v>394.08</v>
      </c>
      <c r="M142">
        <v>14.59</v>
      </c>
      <c r="N142">
        <v>17.100000000000001</v>
      </c>
      <c r="O142">
        <f t="shared" si="4"/>
        <v>19.361639540292629</v>
      </c>
      <c r="P142">
        <f>Table1[[#This Row],[medv]]-Table1[[#This Row],[pred_medv]]</f>
        <v>-2.2616395402926273</v>
      </c>
      <c r="Q142">
        <f>IF(Table1[[#This Row],[medv]]=0, "Undefined", ABS((N142-O142)/N142))*100</f>
        <v>13.225962223933491</v>
      </c>
      <c r="V142">
        <v>85</v>
      </c>
      <c r="W142">
        <v>24.78456673793287</v>
      </c>
      <c r="X142">
        <v>-0.88456673793287166</v>
      </c>
    </row>
    <row r="143" spans="1:24" x14ac:dyDescent="0.3">
      <c r="A143">
        <v>0.24979999999999999</v>
      </c>
      <c r="B143">
        <v>0</v>
      </c>
      <c r="C143">
        <v>21.89</v>
      </c>
      <c r="D143">
        <v>0</v>
      </c>
      <c r="E143">
        <v>0.624</v>
      </c>
      <c r="F143">
        <v>5.8570000000000002</v>
      </c>
      <c r="G143">
        <v>98.2</v>
      </c>
      <c r="H143">
        <v>1.6686000000000001</v>
      </c>
      <c r="I143">
        <v>4</v>
      </c>
      <c r="J143">
        <v>437</v>
      </c>
      <c r="K143">
        <v>21.2</v>
      </c>
      <c r="L143">
        <v>392.04</v>
      </c>
      <c r="M143">
        <v>21.32</v>
      </c>
      <c r="N143">
        <v>13.3</v>
      </c>
      <c r="O143">
        <f t="shared" si="4"/>
        <v>13.814838966995254</v>
      </c>
      <c r="P143">
        <f>Table1[[#This Row],[medv]]-Table1[[#This Row],[pred_medv]]</f>
        <v>-0.51483896699525289</v>
      </c>
      <c r="Q143">
        <f>IF(Table1[[#This Row],[medv]]=0, "Undefined", ABS((N143-O143)/N143))*100</f>
        <v>3.8709696766560366</v>
      </c>
      <c r="V143">
        <v>86</v>
      </c>
      <c r="W143">
        <v>27.790491951237325</v>
      </c>
      <c r="X143">
        <v>-1.1904919512373233</v>
      </c>
    </row>
    <row r="144" spans="1:24" x14ac:dyDescent="0.3">
      <c r="A144">
        <v>0.54452</v>
      </c>
      <c r="B144">
        <v>0</v>
      </c>
      <c r="C144">
        <v>21.89</v>
      </c>
      <c r="D144">
        <v>0</v>
      </c>
      <c r="E144">
        <v>0.624</v>
      </c>
      <c r="F144">
        <v>6.1509999999999998</v>
      </c>
      <c r="G144">
        <v>97.9</v>
      </c>
      <c r="H144">
        <v>1.6687000000000001</v>
      </c>
      <c r="I144">
        <v>4</v>
      </c>
      <c r="J144">
        <v>437</v>
      </c>
      <c r="K144">
        <v>21.2</v>
      </c>
      <c r="L144">
        <v>396.9</v>
      </c>
      <c r="M144">
        <v>18.46</v>
      </c>
      <c r="N144">
        <v>17.8</v>
      </c>
      <c r="O144">
        <f t="shared" si="4"/>
        <v>16.448814747716174</v>
      </c>
      <c r="P144">
        <f>Table1[[#This Row],[medv]]-Table1[[#This Row],[pred_medv]]</f>
        <v>1.3511852522838268</v>
      </c>
      <c r="Q144">
        <f>IF(Table1[[#This Row],[medv]]=0, "Undefined", ABS((N144-O144)/N144))*100</f>
        <v>7.5909283836170047</v>
      </c>
      <c r="V144">
        <v>87</v>
      </c>
      <c r="W144">
        <v>22.168534231467085</v>
      </c>
      <c r="X144">
        <v>0.33146576853291521</v>
      </c>
    </row>
    <row r="145" spans="1:24" x14ac:dyDescent="0.3">
      <c r="A145">
        <v>0.29089999999999999</v>
      </c>
      <c r="B145">
        <v>0</v>
      </c>
      <c r="C145">
        <v>21.89</v>
      </c>
      <c r="D145">
        <v>0</v>
      </c>
      <c r="E145">
        <v>0.624</v>
      </c>
      <c r="F145">
        <v>6.1740000000000004</v>
      </c>
      <c r="G145">
        <v>93.6</v>
      </c>
      <c r="H145">
        <v>1.6119000000000001</v>
      </c>
      <c r="I145">
        <v>4</v>
      </c>
      <c r="J145">
        <v>437</v>
      </c>
      <c r="K145">
        <v>21.2</v>
      </c>
      <c r="L145">
        <v>388.08</v>
      </c>
      <c r="M145">
        <v>24.16</v>
      </c>
      <c r="N145">
        <v>14</v>
      </c>
      <c r="O145">
        <f t="shared" si="4"/>
        <v>13.571419318672817</v>
      </c>
      <c r="P145">
        <f>Table1[[#This Row],[medv]]-Table1[[#This Row],[pred_medv]]</f>
        <v>0.4285806813271833</v>
      </c>
      <c r="Q145">
        <f>IF(Table1[[#This Row],[medv]]=0, "Undefined", ABS((N145-O145)/N145))*100</f>
        <v>3.0612905809084521</v>
      </c>
      <c r="V145">
        <v>88</v>
      </c>
      <c r="W145">
        <v>25.892764153167768</v>
      </c>
      <c r="X145">
        <v>-3.6927641531677686</v>
      </c>
    </row>
    <row r="146" spans="1:24" x14ac:dyDescent="0.3">
      <c r="A146">
        <v>1.6286400000000001</v>
      </c>
      <c r="B146">
        <v>0</v>
      </c>
      <c r="C146">
        <v>21.89</v>
      </c>
      <c r="D146">
        <v>0</v>
      </c>
      <c r="E146">
        <v>0.624</v>
      </c>
      <c r="F146">
        <v>5.0190000000000001</v>
      </c>
      <c r="G146">
        <v>100</v>
      </c>
      <c r="H146">
        <v>1.4394</v>
      </c>
      <c r="I146">
        <v>4</v>
      </c>
      <c r="J146">
        <v>437</v>
      </c>
      <c r="K146">
        <v>21.2</v>
      </c>
      <c r="L146">
        <v>396.9</v>
      </c>
      <c r="M146">
        <v>34.409999999999997</v>
      </c>
      <c r="N146">
        <v>14.4</v>
      </c>
      <c r="O146">
        <f t="shared" si="4"/>
        <v>3.9888550829959328</v>
      </c>
      <c r="P146">
        <f>Table1[[#This Row],[medv]]-Table1[[#This Row],[pred_medv]]</f>
        <v>10.411144917004068</v>
      </c>
      <c r="Q146">
        <f>IF(Table1[[#This Row],[medv]]=0, "Undefined", ABS((N146-O146)/N146))*100</f>
        <v>72.299617479194907</v>
      </c>
      <c r="V146">
        <v>89</v>
      </c>
      <c r="W146">
        <v>30.674618271761915</v>
      </c>
      <c r="X146">
        <v>-7.0746182717619135</v>
      </c>
    </row>
    <row r="147" spans="1:24" x14ac:dyDescent="0.3">
      <c r="A147">
        <v>3.3210500000000001</v>
      </c>
      <c r="B147">
        <v>0</v>
      </c>
      <c r="C147">
        <v>19.579999999999998</v>
      </c>
      <c r="D147">
        <v>1</v>
      </c>
      <c r="E147">
        <v>0.871</v>
      </c>
      <c r="F147">
        <v>5.4029999999999996</v>
      </c>
      <c r="G147">
        <v>100</v>
      </c>
      <c r="H147">
        <v>1.3216000000000001</v>
      </c>
      <c r="I147">
        <v>5</v>
      </c>
      <c r="J147">
        <v>403</v>
      </c>
      <c r="K147">
        <v>14.7</v>
      </c>
      <c r="L147">
        <v>396.9</v>
      </c>
      <c r="M147">
        <v>26.82</v>
      </c>
      <c r="N147">
        <v>13.4</v>
      </c>
      <c r="O147">
        <f t="shared" si="4"/>
        <v>14.594954779921871</v>
      </c>
      <c r="P147">
        <f>Table1[[#This Row],[medv]]-Table1[[#This Row],[pred_medv]]</f>
        <v>-1.1949547799218703</v>
      </c>
      <c r="Q147">
        <f>IF(Table1[[#This Row],[medv]]=0, "Undefined", ABS((N147-O147)/N147))*100</f>
        <v>8.917572984491569</v>
      </c>
      <c r="V147">
        <v>90</v>
      </c>
      <c r="W147">
        <v>30.83110622742447</v>
      </c>
      <c r="X147">
        <v>-2.1311062274244712</v>
      </c>
    </row>
    <row r="148" spans="1:24" x14ac:dyDescent="0.3">
      <c r="A148">
        <v>4.0974000000000004</v>
      </c>
      <c r="B148">
        <v>0</v>
      </c>
      <c r="C148">
        <v>19.579999999999998</v>
      </c>
      <c r="D148">
        <v>0</v>
      </c>
      <c r="E148">
        <v>0.871</v>
      </c>
      <c r="F148">
        <v>5.468</v>
      </c>
      <c r="G148">
        <v>100</v>
      </c>
      <c r="H148">
        <v>1.4117999999999999</v>
      </c>
      <c r="I148">
        <v>5</v>
      </c>
      <c r="J148">
        <v>403</v>
      </c>
      <c r="K148">
        <v>14.7</v>
      </c>
      <c r="L148">
        <v>396.9</v>
      </c>
      <c r="M148">
        <v>26.42</v>
      </c>
      <c r="N148">
        <v>15.6</v>
      </c>
      <c r="O148">
        <f t="shared" si="4"/>
        <v>12.148814803032039</v>
      </c>
      <c r="P148">
        <f>Table1[[#This Row],[medv]]-Table1[[#This Row],[pred_medv]]</f>
        <v>3.4511851969679608</v>
      </c>
      <c r="Q148">
        <f>IF(Table1[[#This Row],[medv]]=0, "Undefined", ABS((N148-O148)/N148))*100</f>
        <v>22.122982031845904</v>
      </c>
      <c r="V148">
        <v>91</v>
      </c>
      <c r="W148">
        <v>27.119019396048753</v>
      </c>
      <c r="X148">
        <v>-4.5190193960487512</v>
      </c>
    </row>
    <row r="149" spans="1:24" x14ac:dyDescent="0.3">
      <c r="A149">
        <v>2.7797399999999999</v>
      </c>
      <c r="B149">
        <v>0</v>
      </c>
      <c r="C149">
        <v>19.579999999999998</v>
      </c>
      <c r="D149">
        <v>0</v>
      </c>
      <c r="E149">
        <v>0.871</v>
      </c>
      <c r="F149">
        <v>4.9029999999999996</v>
      </c>
      <c r="G149">
        <v>97.8</v>
      </c>
      <c r="H149">
        <v>1.3459000000000001</v>
      </c>
      <c r="I149">
        <v>5</v>
      </c>
      <c r="J149">
        <v>403</v>
      </c>
      <c r="K149">
        <v>14.7</v>
      </c>
      <c r="L149">
        <v>396.9</v>
      </c>
      <c r="M149">
        <v>29.29</v>
      </c>
      <c r="N149">
        <v>11.8</v>
      </c>
      <c r="O149">
        <f t="shared" si="4"/>
        <v>8.7282236234231121</v>
      </c>
      <c r="P149">
        <f>Table1[[#This Row],[medv]]-Table1[[#This Row],[pred_medv]]</f>
        <v>3.0717763765768886</v>
      </c>
      <c r="Q149">
        <f>IF(Table1[[#This Row],[medv]]=0, "Undefined", ABS((N149-O149)/N149))*100</f>
        <v>26.032003191329562</v>
      </c>
      <c r="V149">
        <v>92</v>
      </c>
      <c r="W149">
        <v>27.412667341118734</v>
      </c>
      <c r="X149">
        <v>-5.412667341118734</v>
      </c>
    </row>
    <row r="150" spans="1:24" x14ac:dyDescent="0.3">
      <c r="A150">
        <v>2.37934</v>
      </c>
      <c r="B150">
        <v>0</v>
      </c>
      <c r="C150">
        <v>19.579999999999998</v>
      </c>
      <c r="D150">
        <v>0</v>
      </c>
      <c r="E150">
        <v>0.871</v>
      </c>
      <c r="F150">
        <v>6.13</v>
      </c>
      <c r="G150">
        <v>100</v>
      </c>
      <c r="H150">
        <v>1.4191</v>
      </c>
      <c r="I150">
        <v>5</v>
      </c>
      <c r="J150">
        <v>403</v>
      </c>
      <c r="K150">
        <v>14.7</v>
      </c>
      <c r="L150">
        <v>172.91</v>
      </c>
      <c r="M150">
        <v>27.8</v>
      </c>
      <c r="N150">
        <v>13.8</v>
      </c>
      <c r="O150">
        <f t="shared" si="4"/>
        <v>12.035853427474287</v>
      </c>
      <c r="P150">
        <f>Table1[[#This Row],[medv]]-Table1[[#This Row],[pred_medv]]</f>
        <v>1.7641465725257142</v>
      </c>
      <c r="Q150">
        <f>IF(Table1[[#This Row],[medv]]=0, "Undefined", ABS((N150-O150)/N150))*100</f>
        <v>12.783670815403724</v>
      </c>
      <c r="V150">
        <v>93</v>
      </c>
      <c r="W150">
        <v>28.941227624397129</v>
      </c>
      <c r="X150">
        <v>-6.0412276243971306</v>
      </c>
    </row>
    <row r="151" spans="1:24" x14ac:dyDescent="0.3">
      <c r="A151">
        <v>2.1550500000000001</v>
      </c>
      <c r="B151">
        <v>0</v>
      </c>
      <c r="C151">
        <v>19.579999999999998</v>
      </c>
      <c r="D151">
        <v>0</v>
      </c>
      <c r="E151">
        <v>0.871</v>
      </c>
      <c r="F151">
        <v>5.6280000000000001</v>
      </c>
      <c r="G151">
        <v>100</v>
      </c>
      <c r="H151">
        <v>1.5165999999999999</v>
      </c>
      <c r="I151">
        <v>5</v>
      </c>
      <c r="J151">
        <v>403</v>
      </c>
      <c r="K151">
        <v>14.7</v>
      </c>
      <c r="L151">
        <v>169.27</v>
      </c>
      <c r="M151">
        <v>16.649999999999999</v>
      </c>
      <c r="N151">
        <v>15.6</v>
      </c>
      <c r="O151">
        <f t="shared" si="4"/>
        <v>15.820820579631345</v>
      </c>
      <c r="P151">
        <f>Table1[[#This Row],[medv]]-Table1[[#This Row],[pred_medv]]</f>
        <v>-0.22082057963134538</v>
      </c>
      <c r="Q151">
        <f>IF(Table1[[#This Row],[medv]]=0, "Undefined", ABS((N151-O151)/N151))*100</f>
        <v>1.4155165360983677</v>
      </c>
      <c r="V151">
        <v>94</v>
      </c>
      <c r="W151">
        <v>29.081055462579375</v>
      </c>
      <c r="X151">
        <v>-4.0810554625793749</v>
      </c>
    </row>
    <row r="152" spans="1:24" x14ac:dyDescent="0.3">
      <c r="A152">
        <v>2.3686199999999999</v>
      </c>
      <c r="B152">
        <v>0</v>
      </c>
      <c r="C152">
        <v>19.579999999999998</v>
      </c>
      <c r="D152">
        <v>0</v>
      </c>
      <c r="E152">
        <v>0.871</v>
      </c>
      <c r="F152">
        <v>4.9260000000000002</v>
      </c>
      <c r="G152">
        <v>95.7</v>
      </c>
      <c r="H152">
        <v>1.4608000000000001</v>
      </c>
      <c r="I152">
        <v>5</v>
      </c>
      <c r="J152">
        <v>403</v>
      </c>
      <c r="K152">
        <v>14.7</v>
      </c>
      <c r="L152">
        <v>391.71</v>
      </c>
      <c r="M152">
        <v>29.53</v>
      </c>
      <c r="N152">
        <v>14.6</v>
      </c>
      <c r="O152">
        <f t="shared" si="4"/>
        <v>8.51499020343309</v>
      </c>
      <c r="P152">
        <f>Table1[[#This Row],[medv]]-Table1[[#This Row],[pred_medv]]</f>
        <v>6.0850097965669097</v>
      </c>
      <c r="Q152">
        <f>IF(Table1[[#This Row],[medv]]=0, "Undefined", ABS((N152-O152)/N152))*100</f>
        <v>41.678149291554178</v>
      </c>
      <c r="V152">
        <v>95</v>
      </c>
      <c r="W152">
        <v>27.03977364876317</v>
      </c>
      <c r="X152">
        <v>-6.4397736487631683</v>
      </c>
    </row>
    <row r="153" spans="1:24" x14ac:dyDescent="0.3">
      <c r="A153">
        <v>2.3309899999999999</v>
      </c>
      <c r="B153">
        <v>0</v>
      </c>
      <c r="C153">
        <v>19.579999999999998</v>
      </c>
      <c r="D153">
        <v>0</v>
      </c>
      <c r="E153">
        <v>0.871</v>
      </c>
      <c r="F153">
        <v>5.1859999999999999</v>
      </c>
      <c r="G153">
        <v>93.8</v>
      </c>
      <c r="H153">
        <v>1.5296000000000001</v>
      </c>
      <c r="I153">
        <v>5</v>
      </c>
      <c r="J153">
        <v>403</v>
      </c>
      <c r="K153">
        <v>14.7</v>
      </c>
      <c r="L153">
        <v>356.99</v>
      </c>
      <c r="M153">
        <v>28.32</v>
      </c>
      <c r="N153">
        <v>17.8</v>
      </c>
      <c r="O153">
        <f t="shared" si="4"/>
        <v>9.7184413927439515</v>
      </c>
      <c r="P153">
        <f>Table1[[#This Row],[medv]]-Table1[[#This Row],[pred_medv]]</f>
        <v>8.0815586072560492</v>
      </c>
      <c r="Q153">
        <f>IF(Table1[[#This Row],[medv]]=0, "Undefined", ABS((N153-O153)/N153))*100</f>
        <v>45.402014647505894</v>
      </c>
      <c r="V153">
        <v>96</v>
      </c>
      <c r="W153">
        <v>28.624599485046073</v>
      </c>
      <c r="X153">
        <v>-0.22459948504607397</v>
      </c>
    </row>
    <row r="154" spans="1:24" x14ac:dyDescent="0.3">
      <c r="A154">
        <v>2.7339699999999998</v>
      </c>
      <c r="B154">
        <v>0</v>
      </c>
      <c r="C154">
        <v>19.579999999999998</v>
      </c>
      <c r="D154">
        <v>0</v>
      </c>
      <c r="E154">
        <v>0.871</v>
      </c>
      <c r="F154">
        <v>5.5970000000000004</v>
      </c>
      <c r="G154">
        <v>94.9</v>
      </c>
      <c r="H154">
        <v>1.5257000000000001</v>
      </c>
      <c r="I154">
        <v>5</v>
      </c>
      <c r="J154">
        <v>403</v>
      </c>
      <c r="K154">
        <v>14.7</v>
      </c>
      <c r="L154">
        <v>351.85</v>
      </c>
      <c r="M154">
        <v>21.45</v>
      </c>
      <c r="N154">
        <v>15.4</v>
      </c>
      <c r="O154">
        <f t="shared" si="4"/>
        <v>14.804513737403596</v>
      </c>
      <c r="P154">
        <f>Table1[[#This Row],[medv]]-Table1[[#This Row],[pred_medv]]</f>
        <v>0.59548626259640436</v>
      </c>
      <c r="Q154">
        <f>IF(Table1[[#This Row],[medv]]=0, "Undefined", ABS((N154-O154)/N154))*100</f>
        <v>3.8667939129636646</v>
      </c>
      <c r="V154">
        <v>97</v>
      </c>
      <c r="W154">
        <v>24.727449776436814</v>
      </c>
      <c r="X154">
        <v>-3.3274497764368149</v>
      </c>
    </row>
    <row r="155" spans="1:24" x14ac:dyDescent="0.3">
      <c r="A155">
        <v>1.6566000000000001</v>
      </c>
      <c r="B155">
        <v>0</v>
      </c>
      <c r="C155">
        <v>19.579999999999998</v>
      </c>
      <c r="D155">
        <v>0</v>
      </c>
      <c r="E155">
        <v>0.871</v>
      </c>
      <c r="F155">
        <v>6.1219999999999999</v>
      </c>
      <c r="G155">
        <v>97.3</v>
      </c>
      <c r="H155">
        <v>1.6180000000000001</v>
      </c>
      <c r="I155">
        <v>5</v>
      </c>
      <c r="J155">
        <v>403</v>
      </c>
      <c r="K155">
        <v>14.7</v>
      </c>
      <c r="L155">
        <v>372.8</v>
      </c>
      <c r="M155">
        <v>14.1</v>
      </c>
      <c r="N155">
        <v>21.5</v>
      </c>
      <c r="O155">
        <f t="shared" si="4"/>
        <v>20.838581528682809</v>
      </c>
      <c r="P155">
        <f>Table1[[#This Row],[medv]]-Table1[[#This Row],[pred_medv]]</f>
        <v>0.66141847131719089</v>
      </c>
      <c r="Q155">
        <f>IF(Table1[[#This Row],[medv]]=0, "Undefined", ABS((N155-O155)/N155))*100</f>
        <v>3.076364982870655</v>
      </c>
      <c r="V155">
        <v>98</v>
      </c>
      <c r="W155">
        <v>35.781595180859284</v>
      </c>
      <c r="X155">
        <v>2.9184048191407186</v>
      </c>
    </row>
    <row r="156" spans="1:24" x14ac:dyDescent="0.3">
      <c r="A156">
        <v>1.4963200000000001</v>
      </c>
      <c r="B156">
        <v>0</v>
      </c>
      <c r="C156">
        <v>19.579999999999998</v>
      </c>
      <c r="D156">
        <v>0</v>
      </c>
      <c r="E156">
        <v>0.871</v>
      </c>
      <c r="F156">
        <v>5.4039999999999999</v>
      </c>
      <c r="G156">
        <v>100</v>
      </c>
      <c r="H156">
        <v>1.5915999999999999</v>
      </c>
      <c r="I156">
        <v>5</v>
      </c>
      <c r="J156">
        <v>403</v>
      </c>
      <c r="K156">
        <v>14.7</v>
      </c>
      <c r="L156">
        <v>341.6</v>
      </c>
      <c r="M156">
        <v>13.28</v>
      </c>
      <c r="N156">
        <v>19.600000000000001</v>
      </c>
      <c r="O156">
        <f t="shared" si="4"/>
        <v>18.301011693579788</v>
      </c>
      <c r="P156">
        <f>Table1[[#This Row],[medv]]-Table1[[#This Row],[pred_medv]]</f>
        <v>1.2989883064202132</v>
      </c>
      <c r="Q156">
        <f>IF(Table1[[#This Row],[medv]]=0, "Undefined", ABS((N156-O156)/N156))*100</f>
        <v>6.6274913592868021</v>
      </c>
      <c r="V156">
        <v>99</v>
      </c>
      <c r="W156">
        <v>35.114545872622472</v>
      </c>
      <c r="X156">
        <v>8.6854541273775254</v>
      </c>
    </row>
    <row r="157" spans="1:24" x14ac:dyDescent="0.3">
      <c r="A157">
        <v>1.1265799999999999</v>
      </c>
      <c r="B157">
        <v>0</v>
      </c>
      <c r="C157">
        <v>19.579999999999998</v>
      </c>
      <c r="D157">
        <v>1</v>
      </c>
      <c r="E157">
        <v>0.871</v>
      </c>
      <c r="F157">
        <v>5.0119999999999996</v>
      </c>
      <c r="G157">
        <v>88</v>
      </c>
      <c r="H157">
        <v>1.6102000000000001</v>
      </c>
      <c r="I157">
        <v>5</v>
      </c>
      <c r="J157">
        <v>403</v>
      </c>
      <c r="K157">
        <v>14.7</v>
      </c>
      <c r="L157">
        <v>343.28</v>
      </c>
      <c r="M157">
        <v>12.12</v>
      </c>
      <c r="N157">
        <v>15.3</v>
      </c>
      <c r="O157">
        <f t="shared" si="4"/>
        <v>20.122825578502081</v>
      </c>
      <c r="P157">
        <f>Table1[[#This Row],[medv]]-Table1[[#This Row],[pred_medv]]</f>
        <v>-4.8228255785020799</v>
      </c>
      <c r="Q157">
        <f>IF(Table1[[#This Row],[medv]]=0, "Undefined", ABS((N157-O157)/N157))*100</f>
        <v>31.521735807203132</v>
      </c>
      <c r="V157">
        <v>100</v>
      </c>
      <c r="W157">
        <v>32.251028013234162</v>
      </c>
      <c r="X157">
        <v>0.94897198676584082</v>
      </c>
    </row>
    <row r="158" spans="1:24" x14ac:dyDescent="0.3">
      <c r="A158">
        <v>2.1491799999999999</v>
      </c>
      <c r="B158">
        <v>0</v>
      </c>
      <c r="C158">
        <v>19.579999999999998</v>
      </c>
      <c r="D158">
        <v>0</v>
      </c>
      <c r="E158">
        <v>0.871</v>
      </c>
      <c r="F158">
        <v>5.7089999999999996</v>
      </c>
      <c r="G158">
        <v>98.5</v>
      </c>
      <c r="H158">
        <v>1.6232</v>
      </c>
      <c r="I158">
        <v>5</v>
      </c>
      <c r="J158">
        <v>403</v>
      </c>
      <c r="K158">
        <v>14.7</v>
      </c>
      <c r="L158">
        <v>261.95</v>
      </c>
      <c r="M158">
        <v>15.79</v>
      </c>
      <c r="N158">
        <v>19.399999999999999</v>
      </c>
      <c r="O158">
        <f t="shared" si="4"/>
        <v>17.286018936122822</v>
      </c>
      <c r="P158">
        <f>Table1[[#This Row],[medv]]-Table1[[#This Row],[pred_medv]]</f>
        <v>2.1139810638771763</v>
      </c>
      <c r="Q158">
        <f>IF(Table1[[#This Row],[medv]]=0, "Undefined", ABS((N158-O158)/N158))*100</f>
        <v>10.896809607614312</v>
      </c>
      <c r="V158">
        <v>101</v>
      </c>
      <c r="W158">
        <v>24.580220188923775</v>
      </c>
      <c r="X158">
        <v>2.919779811076225</v>
      </c>
    </row>
    <row r="159" spans="1:24" x14ac:dyDescent="0.3">
      <c r="A159">
        <v>1.4138500000000001</v>
      </c>
      <c r="B159">
        <v>0</v>
      </c>
      <c r="C159">
        <v>19.579999999999998</v>
      </c>
      <c r="D159">
        <v>1</v>
      </c>
      <c r="E159">
        <v>0.871</v>
      </c>
      <c r="F159">
        <v>6.1289999999999996</v>
      </c>
      <c r="G159">
        <v>96</v>
      </c>
      <c r="H159">
        <v>1.7494000000000001</v>
      </c>
      <c r="I159">
        <v>5</v>
      </c>
      <c r="J159">
        <v>403</v>
      </c>
      <c r="K159">
        <v>14.7</v>
      </c>
      <c r="L159">
        <v>321.02</v>
      </c>
      <c r="M159">
        <v>15.12</v>
      </c>
      <c r="N159">
        <v>17</v>
      </c>
      <c r="O159">
        <f t="shared" si="4"/>
        <v>22.36600228071628</v>
      </c>
      <c r="P159">
        <f>Table1[[#This Row],[medv]]-Table1[[#This Row],[pred_medv]]</f>
        <v>-5.3660022807162804</v>
      </c>
      <c r="Q159">
        <f>IF(Table1[[#This Row],[medv]]=0, "Undefined", ABS((N159-O159)/N159))*100</f>
        <v>31.564719298331063</v>
      </c>
      <c r="V159">
        <v>102</v>
      </c>
      <c r="W159">
        <v>25.594134745733747</v>
      </c>
      <c r="X159">
        <v>0.90586525426625286</v>
      </c>
    </row>
    <row r="160" spans="1:24" x14ac:dyDescent="0.3">
      <c r="A160">
        <v>3.5350100000000002</v>
      </c>
      <c r="B160">
        <v>0</v>
      </c>
      <c r="C160">
        <v>19.579999999999998</v>
      </c>
      <c r="D160">
        <v>1</v>
      </c>
      <c r="E160">
        <v>0.871</v>
      </c>
      <c r="F160">
        <v>6.1520000000000001</v>
      </c>
      <c r="G160">
        <v>82.6</v>
      </c>
      <c r="H160">
        <v>1.7455000000000001</v>
      </c>
      <c r="I160">
        <v>5</v>
      </c>
      <c r="J160">
        <v>403</v>
      </c>
      <c r="K160">
        <v>14.7</v>
      </c>
      <c r="L160">
        <v>88.01</v>
      </c>
      <c r="M160">
        <v>15.02</v>
      </c>
      <c r="N160">
        <v>15.6</v>
      </c>
      <c r="O160">
        <f t="shared" si="4"/>
        <v>20.103759227359859</v>
      </c>
      <c r="P160">
        <f>Table1[[#This Row],[medv]]-Table1[[#This Row],[pred_medv]]</f>
        <v>-4.5037592273598595</v>
      </c>
      <c r="Q160">
        <f>IF(Table1[[#This Row],[medv]]=0, "Undefined", ABS((N160-O160)/N160))*100</f>
        <v>28.870251457434996</v>
      </c>
      <c r="V160">
        <v>103</v>
      </c>
      <c r="W160">
        <v>19.790136835464367</v>
      </c>
      <c r="X160">
        <v>-1.1901368354643651</v>
      </c>
    </row>
    <row r="161" spans="1:24" x14ac:dyDescent="0.3">
      <c r="A161">
        <v>2.4466800000000002</v>
      </c>
      <c r="B161">
        <v>0</v>
      </c>
      <c r="C161">
        <v>19.579999999999998</v>
      </c>
      <c r="D161">
        <v>0</v>
      </c>
      <c r="E161">
        <v>0.871</v>
      </c>
      <c r="F161">
        <v>5.2720000000000002</v>
      </c>
      <c r="G161">
        <v>94</v>
      </c>
      <c r="H161">
        <v>1.7363999999999999</v>
      </c>
      <c r="I161">
        <v>5</v>
      </c>
      <c r="J161">
        <v>403</v>
      </c>
      <c r="K161">
        <v>14.7</v>
      </c>
      <c r="L161">
        <v>88.63</v>
      </c>
      <c r="M161">
        <v>16.14</v>
      </c>
      <c r="N161">
        <v>13.1</v>
      </c>
      <c r="O161">
        <f t="shared" si="4"/>
        <v>13.621258906723874</v>
      </c>
      <c r="P161">
        <f>Table1[[#This Row],[medv]]-Table1[[#This Row],[pred_medv]]</f>
        <v>-0.5212589067238742</v>
      </c>
      <c r="Q161">
        <f>IF(Table1[[#This Row],[medv]]=0, "Undefined", ABS((N161-O161)/N161))*100</f>
        <v>3.9790756238463683</v>
      </c>
      <c r="V161">
        <v>104</v>
      </c>
      <c r="W161">
        <v>20.311671287562017</v>
      </c>
      <c r="X161">
        <v>-1.0116712875620166</v>
      </c>
    </row>
    <row r="162" spans="1:24" x14ac:dyDescent="0.3">
      <c r="A162">
        <v>1.2235799999999999</v>
      </c>
      <c r="B162">
        <v>0</v>
      </c>
      <c r="C162">
        <v>19.579999999999998</v>
      </c>
      <c r="D162">
        <v>0</v>
      </c>
      <c r="E162">
        <v>0.60499999999999998</v>
      </c>
      <c r="F162">
        <v>6.9429999999999996</v>
      </c>
      <c r="G162">
        <v>97.4</v>
      </c>
      <c r="H162">
        <v>1.8773</v>
      </c>
      <c r="I162">
        <v>5</v>
      </c>
      <c r="J162">
        <v>403</v>
      </c>
      <c r="K162">
        <v>14.7</v>
      </c>
      <c r="L162">
        <v>363.43</v>
      </c>
      <c r="M162">
        <v>4.59</v>
      </c>
      <c r="N162">
        <v>41.3</v>
      </c>
      <c r="O162">
        <f t="shared" si="4"/>
        <v>33.259826968901649</v>
      </c>
      <c r="P162">
        <f>Table1[[#This Row],[medv]]-Table1[[#This Row],[pred_medv]]</f>
        <v>8.0401730310983481</v>
      </c>
      <c r="Q162">
        <f>IF(Table1[[#This Row],[medv]]=0, "Undefined", ABS((N162-O162)/N162))*100</f>
        <v>19.467731310165494</v>
      </c>
      <c r="V162">
        <v>105</v>
      </c>
      <c r="W162">
        <v>21.434825911454041</v>
      </c>
      <c r="X162">
        <v>-1.3348259114540397</v>
      </c>
    </row>
    <row r="163" spans="1:24" x14ac:dyDescent="0.3">
      <c r="A163">
        <v>1.34284</v>
      </c>
      <c r="B163">
        <v>0</v>
      </c>
      <c r="C163">
        <v>19.579999999999998</v>
      </c>
      <c r="D163">
        <v>0</v>
      </c>
      <c r="E163">
        <v>0.60499999999999998</v>
      </c>
      <c r="F163">
        <v>6.0659999999999998</v>
      </c>
      <c r="G163">
        <v>100</v>
      </c>
      <c r="H163">
        <v>1.7573000000000001</v>
      </c>
      <c r="I163">
        <v>5</v>
      </c>
      <c r="J163">
        <v>403</v>
      </c>
      <c r="K163">
        <v>14.7</v>
      </c>
      <c r="L163">
        <v>353.89</v>
      </c>
      <c r="M163">
        <v>6.43</v>
      </c>
      <c r="N163">
        <v>24.3</v>
      </c>
      <c r="O163">
        <f t="shared" si="4"/>
        <v>29.030172679845183</v>
      </c>
      <c r="P163">
        <f>Table1[[#This Row],[medv]]-Table1[[#This Row],[pred_medv]]</f>
        <v>-4.7301726798451824</v>
      </c>
      <c r="Q163">
        <f>IF(Table1[[#This Row],[medv]]=0, "Undefined", ABS((N163-O163)/N163))*100</f>
        <v>19.465731192778531</v>
      </c>
      <c r="V163">
        <v>106</v>
      </c>
      <c r="W163">
        <v>18.539940081604016</v>
      </c>
      <c r="X163">
        <v>0.96005991839598437</v>
      </c>
    </row>
    <row r="164" spans="1:24" x14ac:dyDescent="0.3">
      <c r="A164">
        <v>1.42502</v>
      </c>
      <c r="B164">
        <v>0</v>
      </c>
      <c r="C164">
        <v>19.579999999999998</v>
      </c>
      <c r="D164">
        <v>0</v>
      </c>
      <c r="E164">
        <v>0.871</v>
      </c>
      <c r="F164">
        <v>6.51</v>
      </c>
      <c r="G164">
        <v>100</v>
      </c>
      <c r="H164">
        <v>1.7659</v>
      </c>
      <c r="I164">
        <v>5</v>
      </c>
      <c r="J164">
        <v>403</v>
      </c>
      <c r="K164">
        <v>14.7</v>
      </c>
      <c r="L164">
        <v>364.31</v>
      </c>
      <c r="M164">
        <v>7.39</v>
      </c>
      <c r="N164">
        <v>23.3</v>
      </c>
      <c r="O164">
        <f t="shared" si="4"/>
        <v>25.567527693653105</v>
      </c>
      <c r="P164">
        <f>Table1[[#This Row],[medv]]-Table1[[#This Row],[pred_medv]]</f>
        <v>-2.2675276936531041</v>
      </c>
      <c r="Q164">
        <f>IF(Table1[[#This Row],[medv]]=0, "Undefined", ABS((N164-O164)/N164))*100</f>
        <v>9.7318785135326351</v>
      </c>
      <c r="V164">
        <v>107</v>
      </c>
      <c r="W164">
        <v>17.187559917815918</v>
      </c>
      <c r="X164">
        <v>2.3124400821840823</v>
      </c>
    </row>
    <row r="165" spans="1:24" x14ac:dyDescent="0.3">
      <c r="A165">
        <v>1.27346</v>
      </c>
      <c r="B165">
        <v>0</v>
      </c>
      <c r="C165">
        <v>19.579999999999998</v>
      </c>
      <c r="D165">
        <v>1</v>
      </c>
      <c r="E165">
        <v>0.60499999999999998</v>
      </c>
      <c r="F165">
        <v>6.25</v>
      </c>
      <c r="G165">
        <v>92.6</v>
      </c>
      <c r="H165">
        <v>1.7984</v>
      </c>
      <c r="I165">
        <v>5</v>
      </c>
      <c r="J165">
        <v>403</v>
      </c>
      <c r="K165">
        <v>14.7</v>
      </c>
      <c r="L165">
        <v>338.92</v>
      </c>
      <c r="M165">
        <v>5.5</v>
      </c>
      <c r="N165">
        <v>27</v>
      </c>
      <c r="O165">
        <f t="shared" si="4"/>
        <v>32.708276658353874</v>
      </c>
      <c r="P165">
        <f>Table1[[#This Row],[medv]]-Table1[[#This Row],[pred_medv]]</f>
        <v>-5.7082766583538742</v>
      </c>
      <c r="Q165">
        <f>IF(Table1[[#This Row],[medv]]=0, "Undefined", ABS((N165-O165)/N165))*100</f>
        <v>21.141765401310643</v>
      </c>
      <c r="V165">
        <v>108</v>
      </c>
      <c r="W165">
        <v>20.750490259356187</v>
      </c>
      <c r="X165">
        <v>-0.35049025935618872</v>
      </c>
    </row>
    <row r="166" spans="1:24" x14ac:dyDescent="0.3">
      <c r="A166">
        <v>1.46336</v>
      </c>
      <c r="B166">
        <v>0</v>
      </c>
      <c r="C166">
        <v>19.579999999999998</v>
      </c>
      <c r="D166">
        <v>0</v>
      </c>
      <c r="E166">
        <v>0.60499999999999998</v>
      </c>
      <c r="F166">
        <v>7.4889999999999999</v>
      </c>
      <c r="G166">
        <v>90.8</v>
      </c>
      <c r="H166">
        <v>1.9709000000000001</v>
      </c>
      <c r="I166">
        <v>5</v>
      </c>
      <c r="J166">
        <v>403</v>
      </c>
      <c r="K166">
        <v>14.7</v>
      </c>
      <c r="L166">
        <v>374.43</v>
      </c>
      <c r="M166">
        <v>1.73</v>
      </c>
      <c r="N166">
        <v>50</v>
      </c>
      <c r="O166">
        <f t="shared" si="4"/>
        <v>36.774670145741339</v>
      </c>
      <c r="P166">
        <f>Table1[[#This Row],[medv]]-Table1[[#This Row],[pred_medv]]</f>
        <v>13.225329854258661</v>
      </c>
      <c r="Q166">
        <f>IF(Table1[[#This Row],[medv]]=0, "Undefined", ABS((N166-O166)/N166))*100</f>
        <v>26.450659708517321</v>
      </c>
      <c r="V166">
        <v>109</v>
      </c>
      <c r="W166">
        <v>22.648291145971534</v>
      </c>
      <c r="X166">
        <v>-2.8482911459715332</v>
      </c>
    </row>
    <row r="167" spans="1:24" x14ac:dyDescent="0.3">
      <c r="A167">
        <v>1.8337699999999999</v>
      </c>
      <c r="B167">
        <v>0</v>
      </c>
      <c r="C167">
        <v>19.579999999999998</v>
      </c>
      <c r="D167">
        <v>1</v>
      </c>
      <c r="E167">
        <v>0.60499999999999998</v>
      </c>
      <c r="F167">
        <v>7.8019999999999996</v>
      </c>
      <c r="G167">
        <v>98.2</v>
      </c>
      <c r="H167">
        <v>2.0407000000000002</v>
      </c>
      <c r="I167">
        <v>5</v>
      </c>
      <c r="J167">
        <v>403</v>
      </c>
      <c r="K167">
        <v>14.7</v>
      </c>
      <c r="L167">
        <v>389.61</v>
      </c>
      <c r="M167">
        <v>1.92</v>
      </c>
      <c r="N167">
        <v>50</v>
      </c>
      <c r="O167">
        <f t="shared" si="4"/>
        <v>40.557658444580483</v>
      </c>
      <c r="P167">
        <f>Table1[[#This Row],[medv]]-Table1[[#This Row],[pred_medv]]</f>
        <v>9.4423415554195174</v>
      </c>
      <c r="Q167">
        <f>IF(Table1[[#This Row],[medv]]=0, "Undefined", ABS((N167-O167)/N167))*100</f>
        <v>18.884683110839035</v>
      </c>
      <c r="V167">
        <v>110</v>
      </c>
      <c r="W167">
        <v>19.772036695318725</v>
      </c>
      <c r="X167">
        <v>-0.37203669531872663</v>
      </c>
    </row>
    <row r="168" spans="1:24" x14ac:dyDescent="0.3">
      <c r="A168">
        <v>1.51902</v>
      </c>
      <c r="B168">
        <v>0</v>
      </c>
      <c r="C168">
        <v>19.579999999999998</v>
      </c>
      <c r="D168">
        <v>1</v>
      </c>
      <c r="E168">
        <v>0.60499999999999998</v>
      </c>
      <c r="F168">
        <v>8.375</v>
      </c>
      <c r="G168">
        <v>93.9</v>
      </c>
      <c r="H168">
        <v>2.1619999999999999</v>
      </c>
      <c r="I168">
        <v>5</v>
      </c>
      <c r="J168">
        <v>403</v>
      </c>
      <c r="K168">
        <v>14.7</v>
      </c>
      <c r="L168">
        <v>388.45</v>
      </c>
      <c r="M168">
        <v>3.32</v>
      </c>
      <c r="N168">
        <v>50</v>
      </c>
      <c r="O168">
        <f t="shared" si="4"/>
        <v>41.847281677041224</v>
      </c>
      <c r="P168">
        <f>Table1[[#This Row],[medv]]-Table1[[#This Row],[pred_medv]]</f>
        <v>8.1527183229587763</v>
      </c>
      <c r="Q168">
        <f>IF(Table1[[#This Row],[medv]]=0, "Undefined", ABS((N168-O168)/N168))*100</f>
        <v>16.305436645917553</v>
      </c>
      <c r="V168">
        <v>111</v>
      </c>
      <c r="W168">
        <v>20.649658642696828</v>
      </c>
      <c r="X168">
        <v>1.0503413573031715</v>
      </c>
    </row>
    <row r="169" spans="1:24" x14ac:dyDescent="0.3">
      <c r="A169">
        <v>2.2423600000000001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5.8540000000000001</v>
      </c>
      <c r="G169">
        <v>91.8</v>
      </c>
      <c r="H169">
        <v>2.4220000000000002</v>
      </c>
      <c r="I169">
        <v>5</v>
      </c>
      <c r="J169">
        <v>403</v>
      </c>
      <c r="K169">
        <v>14.7</v>
      </c>
      <c r="L169">
        <v>395.11</v>
      </c>
      <c r="M169">
        <v>11.64</v>
      </c>
      <c r="N169">
        <v>22.7</v>
      </c>
      <c r="O169">
        <f t="shared" si="4"/>
        <v>24.788673790997649</v>
      </c>
      <c r="P169">
        <f>Table1[[#This Row],[medv]]-Table1[[#This Row],[pred_medv]]</f>
        <v>-2.0886737909976496</v>
      </c>
      <c r="Q169">
        <f>IF(Table1[[#This Row],[medv]]=0, "Undefined", ABS((N169-O169)/N169))*100</f>
        <v>9.2012061277429495</v>
      </c>
      <c r="V169">
        <v>112</v>
      </c>
      <c r="W169">
        <v>26.525867437930653</v>
      </c>
      <c r="X169">
        <v>-3.7258674379306527</v>
      </c>
    </row>
    <row r="170" spans="1:24" x14ac:dyDescent="0.3">
      <c r="A170">
        <v>2.9239999999999999</v>
      </c>
      <c r="B170">
        <v>0</v>
      </c>
      <c r="C170">
        <v>19.579999999999998</v>
      </c>
      <c r="D170">
        <v>0</v>
      </c>
      <c r="E170">
        <v>0.60499999999999998</v>
      </c>
      <c r="F170">
        <v>6.101</v>
      </c>
      <c r="G170">
        <v>93</v>
      </c>
      <c r="H170">
        <v>2.2833999999999999</v>
      </c>
      <c r="I170">
        <v>5</v>
      </c>
      <c r="J170">
        <v>403</v>
      </c>
      <c r="K170">
        <v>14.7</v>
      </c>
      <c r="L170">
        <v>240.16</v>
      </c>
      <c r="M170">
        <v>9.81</v>
      </c>
      <c r="N170">
        <v>25</v>
      </c>
      <c r="O170">
        <f t="shared" si="4"/>
        <v>25.378892377693443</v>
      </c>
      <c r="P170">
        <f>Table1[[#This Row],[medv]]-Table1[[#This Row],[pred_medv]]</f>
        <v>-0.37889237769344319</v>
      </c>
      <c r="Q170">
        <f>IF(Table1[[#This Row],[medv]]=0, "Undefined", ABS((N170-O170)/N170))*100</f>
        <v>1.5155695107737728</v>
      </c>
      <c r="V170">
        <v>113</v>
      </c>
      <c r="W170">
        <v>20.773236376860229</v>
      </c>
      <c r="X170">
        <v>-1.9732363768602283</v>
      </c>
    </row>
    <row r="171" spans="1:24" x14ac:dyDescent="0.3">
      <c r="A171">
        <v>2.0101900000000001</v>
      </c>
      <c r="B171">
        <v>0</v>
      </c>
      <c r="C171">
        <v>19.579999999999998</v>
      </c>
      <c r="D171">
        <v>0</v>
      </c>
      <c r="E171">
        <v>0.60499999999999998</v>
      </c>
      <c r="F171">
        <v>7.9290000000000003</v>
      </c>
      <c r="G171">
        <v>96.2</v>
      </c>
      <c r="H171">
        <v>2.0459000000000001</v>
      </c>
      <c r="I171">
        <v>5</v>
      </c>
      <c r="J171">
        <v>403</v>
      </c>
      <c r="K171">
        <v>14.7</v>
      </c>
      <c r="L171">
        <v>369.3</v>
      </c>
      <c r="M171">
        <v>3.7</v>
      </c>
      <c r="N171">
        <v>50</v>
      </c>
      <c r="O171">
        <f t="shared" si="4"/>
        <v>37.20347454599947</v>
      </c>
      <c r="P171">
        <f>Table1[[#This Row],[medv]]-Table1[[#This Row],[pred_medv]]</f>
        <v>12.79652545400053</v>
      </c>
      <c r="Q171">
        <f>IF(Table1[[#This Row],[medv]]=0, "Undefined", ABS((N171-O171)/N171))*100</f>
        <v>25.593050908001057</v>
      </c>
      <c r="V171">
        <v>114</v>
      </c>
      <c r="W171">
        <v>20.715483149702191</v>
      </c>
      <c r="X171">
        <v>-2.0154831497021917</v>
      </c>
    </row>
    <row r="172" spans="1:24" x14ac:dyDescent="0.3">
      <c r="A172">
        <v>1.8002800000000001</v>
      </c>
      <c r="B172">
        <v>0</v>
      </c>
      <c r="C172">
        <v>19.579999999999998</v>
      </c>
      <c r="D172">
        <v>0</v>
      </c>
      <c r="E172">
        <v>0.60499999999999998</v>
      </c>
      <c r="F172">
        <v>5.8769999999999998</v>
      </c>
      <c r="G172">
        <v>79.2</v>
      </c>
      <c r="H172">
        <v>2.4258999999999999</v>
      </c>
      <c r="I172">
        <v>5</v>
      </c>
      <c r="J172">
        <v>403</v>
      </c>
      <c r="K172">
        <v>14.7</v>
      </c>
      <c r="L172">
        <v>227.61</v>
      </c>
      <c r="M172">
        <v>12.14</v>
      </c>
      <c r="N172">
        <v>23.8</v>
      </c>
      <c r="O172">
        <f t="shared" si="4"/>
        <v>23.087487473372352</v>
      </c>
      <c r="P172">
        <f>Table1[[#This Row],[medv]]-Table1[[#This Row],[pred_medv]]</f>
        <v>0.71251252662764841</v>
      </c>
      <c r="Q172">
        <f>IF(Table1[[#This Row],[medv]]=0, "Undefined", ABS((N172-O172)/N172))*100</f>
        <v>2.9937501118808756</v>
      </c>
      <c r="V172">
        <v>115</v>
      </c>
      <c r="W172">
        <v>25.172088812641135</v>
      </c>
      <c r="X172">
        <v>-6.6720888126411353</v>
      </c>
    </row>
    <row r="173" spans="1:24" x14ac:dyDescent="0.3">
      <c r="A173">
        <v>2.3003999999999998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6.319</v>
      </c>
      <c r="G173">
        <v>96.1</v>
      </c>
      <c r="H173">
        <v>2.1</v>
      </c>
      <c r="I173">
        <v>5</v>
      </c>
      <c r="J173">
        <v>403</v>
      </c>
      <c r="K173">
        <v>14.7</v>
      </c>
      <c r="L173">
        <v>297.08999999999997</v>
      </c>
      <c r="M173">
        <v>11.1</v>
      </c>
      <c r="N173">
        <v>23.8</v>
      </c>
      <c r="O173">
        <f t="shared" si="4"/>
        <v>26.402739552736538</v>
      </c>
      <c r="P173">
        <f>Table1[[#This Row],[medv]]-Table1[[#This Row],[pred_medv]]</f>
        <v>-2.6027395527365371</v>
      </c>
      <c r="Q173">
        <f>IF(Table1[[#This Row],[medv]]=0, "Undefined", ABS((N173-O173)/N173))*100</f>
        <v>10.935880473682928</v>
      </c>
      <c r="V173">
        <v>116</v>
      </c>
      <c r="W173">
        <v>20.430255909460659</v>
      </c>
      <c r="X173">
        <v>-2.1302559094606579</v>
      </c>
    </row>
    <row r="174" spans="1:24" x14ac:dyDescent="0.3">
      <c r="A174">
        <v>2.4495300000000002</v>
      </c>
      <c r="B174">
        <v>0</v>
      </c>
      <c r="C174">
        <v>19.579999999999998</v>
      </c>
      <c r="D174">
        <v>0</v>
      </c>
      <c r="E174">
        <v>0.60499999999999998</v>
      </c>
      <c r="F174">
        <v>6.4020000000000001</v>
      </c>
      <c r="G174">
        <v>95.2</v>
      </c>
      <c r="H174">
        <v>2.2625000000000002</v>
      </c>
      <c r="I174">
        <v>5</v>
      </c>
      <c r="J174">
        <v>403</v>
      </c>
      <c r="K174">
        <v>14.7</v>
      </c>
      <c r="L174">
        <v>330.04</v>
      </c>
      <c r="M174">
        <v>11.32</v>
      </c>
      <c r="N174">
        <v>22.3</v>
      </c>
      <c r="O174">
        <f t="shared" si="4"/>
        <v>26.653821137264451</v>
      </c>
      <c r="P174">
        <f>Table1[[#This Row],[medv]]-Table1[[#This Row],[pred_medv]]</f>
        <v>-4.3538211372644504</v>
      </c>
      <c r="Q174">
        <f>IF(Table1[[#This Row],[medv]]=0, "Undefined", ABS((N174-O174)/N174))*100</f>
        <v>19.523861602082736</v>
      </c>
      <c r="V174">
        <v>117</v>
      </c>
      <c r="W174">
        <v>23.377246256949572</v>
      </c>
      <c r="X174">
        <v>-2.177246256949573</v>
      </c>
    </row>
    <row r="175" spans="1:24" x14ac:dyDescent="0.3">
      <c r="A175">
        <v>1.2074199999999999</v>
      </c>
      <c r="B175">
        <v>0</v>
      </c>
      <c r="C175">
        <v>19.579999999999998</v>
      </c>
      <c r="D175">
        <v>0</v>
      </c>
      <c r="E175">
        <v>0.60499999999999998</v>
      </c>
      <c r="F175">
        <v>5.875</v>
      </c>
      <c r="G175">
        <v>94.6</v>
      </c>
      <c r="H175">
        <v>2.4258999999999999</v>
      </c>
      <c r="I175">
        <v>5</v>
      </c>
      <c r="J175">
        <v>403</v>
      </c>
      <c r="K175">
        <v>14.7</v>
      </c>
      <c r="L175">
        <v>292.29000000000002</v>
      </c>
      <c r="M175">
        <v>14.43</v>
      </c>
      <c r="N175">
        <v>17.399999999999999</v>
      </c>
      <c r="O175">
        <f t="shared" si="4"/>
        <v>22.555146604887078</v>
      </c>
      <c r="P175">
        <f>Table1[[#This Row],[medv]]-Table1[[#This Row],[pred_medv]]</f>
        <v>-5.1551466048870793</v>
      </c>
      <c r="Q175">
        <f>IF(Table1[[#This Row],[medv]]=0, "Undefined", ABS((N175-O175)/N175))*100</f>
        <v>29.627279338431496</v>
      </c>
      <c r="V175">
        <v>118</v>
      </c>
      <c r="W175">
        <v>23.690432606220547</v>
      </c>
      <c r="X175">
        <v>-4.4904326062205477</v>
      </c>
    </row>
    <row r="176" spans="1:24" x14ac:dyDescent="0.3">
      <c r="A176">
        <v>2.3138999999999998</v>
      </c>
      <c r="B176">
        <v>0</v>
      </c>
      <c r="C176">
        <v>19.579999999999998</v>
      </c>
      <c r="D176">
        <v>0</v>
      </c>
      <c r="E176">
        <v>0.60499999999999998</v>
      </c>
      <c r="F176">
        <v>5.88</v>
      </c>
      <c r="G176">
        <v>97.3</v>
      </c>
      <c r="H176">
        <v>2.3887</v>
      </c>
      <c r="I176">
        <v>5</v>
      </c>
      <c r="J176">
        <v>403</v>
      </c>
      <c r="K176">
        <v>14.7</v>
      </c>
      <c r="L176">
        <v>348.13</v>
      </c>
      <c r="M176">
        <v>12.03</v>
      </c>
      <c r="N176">
        <v>19.100000000000001</v>
      </c>
      <c r="O176">
        <f t="shared" si="4"/>
        <v>24.290828117748951</v>
      </c>
      <c r="P176">
        <f>Table1[[#This Row],[medv]]-Table1[[#This Row],[pred_medv]]</f>
        <v>-5.1908281177489499</v>
      </c>
      <c r="Q176">
        <f>IF(Table1[[#This Row],[medv]]=0, "Undefined", ABS((N176-O176)/N176))*100</f>
        <v>27.177110564130626</v>
      </c>
      <c r="V176">
        <v>119</v>
      </c>
      <c r="W176">
        <v>20.335783642583149</v>
      </c>
      <c r="X176">
        <v>6.4216357416849945E-2</v>
      </c>
    </row>
    <row r="177" spans="1:24" x14ac:dyDescent="0.3">
      <c r="A177">
        <v>0.13914000000000001</v>
      </c>
      <c r="B177">
        <v>0</v>
      </c>
      <c r="C177">
        <v>4.05</v>
      </c>
      <c r="D177">
        <v>0</v>
      </c>
      <c r="E177">
        <v>0.51</v>
      </c>
      <c r="F177">
        <v>5.5720000000000001</v>
      </c>
      <c r="G177">
        <v>88.5</v>
      </c>
      <c r="H177">
        <v>2.5960999999999999</v>
      </c>
      <c r="I177">
        <v>5</v>
      </c>
      <c r="J177">
        <v>296</v>
      </c>
      <c r="K177">
        <v>16.600000000000001</v>
      </c>
      <c r="L177">
        <v>396.9</v>
      </c>
      <c r="M177">
        <v>14.69</v>
      </c>
      <c r="N177">
        <v>23.1</v>
      </c>
      <c r="O177">
        <f t="shared" si="4"/>
        <v>22.976572190213179</v>
      </c>
      <c r="P177">
        <f>Table1[[#This Row],[medv]]-Table1[[#This Row],[pred_medv]]</f>
        <v>0.123427809786822</v>
      </c>
      <c r="Q177">
        <f>IF(Table1[[#This Row],[medv]]=0, "Undefined", ABS((N177-O177)/N177))*100</f>
        <v>0.53431952288667528</v>
      </c>
      <c r="V177">
        <v>120</v>
      </c>
      <c r="W177">
        <v>20.791808732015753</v>
      </c>
      <c r="X177">
        <v>-1.4918087320157518</v>
      </c>
    </row>
    <row r="178" spans="1:24" x14ac:dyDescent="0.3">
      <c r="A178">
        <v>9.178E-2</v>
      </c>
      <c r="B178">
        <v>0</v>
      </c>
      <c r="C178">
        <v>4.05</v>
      </c>
      <c r="D178">
        <v>0</v>
      </c>
      <c r="E178">
        <v>0.51</v>
      </c>
      <c r="F178">
        <v>6.4160000000000004</v>
      </c>
      <c r="G178">
        <v>84.1</v>
      </c>
      <c r="H178">
        <v>2.6463000000000001</v>
      </c>
      <c r="I178">
        <v>5</v>
      </c>
      <c r="J178">
        <v>296</v>
      </c>
      <c r="K178">
        <v>16.600000000000001</v>
      </c>
      <c r="L178">
        <v>395.5</v>
      </c>
      <c r="M178">
        <v>9.0399999999999991</v>
      </c>
      <c r="N178">
        <v>23.6</v>
      </c>
      <c r="O178">
        <f t="shared" si="4"/>
        <v>29.071943076900858</v>
      </c>
      <c r="P178">
        <f>Table1[[#This Row],[medv]]-Table1[[#This Row],[pred_medv]]</f>
        <v>-5.4719430769008568</v>
      </c>
      <c r="Q178">
        <f>IF(Table1[[#This Row],[medv]]=0, "Undefined", ABS((N178-O178)/N178))*100</f>
        <v>23.186199478393458</v>
      </c>
      <c r="V178">
        <v>121</v>
      </c>
      <c r="W178">
        <v>21.916320710534841</v>
      </c>
      <c r="X178">
        <v>8.3679289465159457E-2</v>
      </c>
    </row>
    <row r="179" spans="1:24" x14ac:dyDescent="0.3">
      <c r="A179">
        <v>8.4470000000000003E-2</v>
      </c>
      <c r="B179">
        <v>0</v>
      </c>
      <c r="C179">
        <v>4.05</v>
      </c>
      <c r="D179">
        <v>0</v>
      </c>
      <c r="E179">
        <v>0.51</v>
      </c>
      <c r="F179">
        <v>5.859</v>
      </c>
      <c r="G179">
        <v>68.7</v>
      </c>
      <c r="H179">
        <v>2.7019000000000002</v>
      </c>
      <c r="I179">
        <v>5</v>
      </c>
      <c r="J179">
        <v>296</v>
      </c>
      <c r="K179">
        <v>16.600000000000001</v>
      </c>
      <c r="L179">
        <v>393.23</v>
      </c>
      <c r="M179">
        <v>9.64</v>
      </c>
      <c r="N179">
        <v>22.6</v>
      </c>
      <c r="O179">
        <f t="shared" si="4"/>
        <v>26.52194339591243</v>
      </c>
      <c r="P179">
        <f>Table1[[#This Row],[medv]]-Table1[[#This Row],[pred_medv]]</f>
        <v>-3.9219433959124288</v>
      </c>
      <c r="Q179">
        <f>IF(Table1[[#This Row],[medv]]=0, "Undefined", ABS((N179-O179)/N179))*100</f>
        <v>17.353731840320481</v>
      </c>
      <c r="V179">
        <v>122</v>
      </c>
      <c r="W179">
        <v>22.471077767448474</v>
      </c>
      <c r="X179">
        <v>-2.1710777674484731</v>
      </c>
    </row>
    <row r="180" spans="1:24" x14ac:dyDescent="0.3">
      <c r="A180">
        <v>6.6640000000000005E-2</v>
      </c>
      <c r="B180">
        <v>0</v>
      </c>
      <c r="C180">
        <v>4.05</v>
      </c>
      <c r="D180">
        <v>0</v>
      </c>
      <c r="E180">
        <v>0.51</v>
      </c>
      <c r="F180">
        <v>6.5460000000000003</v>
      </c>
      <c r="G180">
        <v>33.1</v>
      </c>
      <c r="H180">
        <v>3.1322999999999999</v>
      </c>
      <c r="I180">
        <v>5</v>
      </c>
      <c r="J180">
        <v>296</v>
      </c>
      <c r="K180">
        <v>16.600000000000001</v>
      </c>
      <c r="L180">
        <v>390.96</v>
      </c>
      <c r="M180">
        <v>5.33</v>
      </c>
      <c r="N180">
        <v>29.4</v>
      </c>
      <c r="O180">
        <f t="shared" si="4"/>
        <v>30.722090555483625</v>
      </c>
      <c r="P180">
        <f>Table1[[#This Row],[medv]]-Table1[[#This Row],[pred_medv]]</f>
        <v>-1.3220905554836264</v>
      </c>
      <c r="Q180">
        <f>IF(Table1[[#This Row],[medv]]=0, "Undefined", ABS((N180-O180)/N180))*100</f>
        <v>4.4969066513048519</v>
      </c>
      <c r="V180">
        <v>123</v>
      </c>
      <c r="W180">
        <v>20.557385558477204</v>
      </c>
      <c r="X180">
        <v>-5.7385558477204057E-2</v>
      </c>
    </row>
    <row r="181" spans="1:24" x14ac:dyDescent="0.3">
      <c r="A181">
        <v>7.0220000000000005E-2</v>
      </c>
      <c r="B181">
        <v>0</v>
      </c>
      <c r="C181">
        <v>4.05</v>
      </c>
      <c r="D181">
        <v>0</v>
      </c>
      <c r="E181">
        <v>0.51</v>
      </c>
      <c r="F181">
        <v>6.02</v>
      </c>
      <c r="G181">
        <v>47.2</v>
      </c>
      <c r="H181">
        <v>3.5548999999999999</v>
      </c>
      <c r="I181">
        <v>5</v>
      </c>
      <c r="J181">
        <v>296</v>
      </c>
      <c r="K181">
        <v>16.600000000000001</v>
      </c>
      <c r="L181">
        <v>393.23</v>
      </c>
      <c r="M181">
        <v>10.11</v>
      </c>
      <c r="N181">
        <v>23.2</v>
      </c>
      <c r="O181">
        <f t="shared" si="4"/>
        <v>25.616693069401386</v>
      </c>
      <c r="P181">
        <f>Table1[[#This Row],[medv]]-Table1[[#This Row],[pred_medv]]</f>
        <v>-2.4166930694013864</v>
      </c>
      <c r="Q181">
        <f>IF(Table1[[#This Row],[medv]]=0, "Undefined", ABS((N181-O181)/N181))*100</f>
        <v>10.416780471557701</v>
      </c>
      <c r="V181">
        <v>124</v>
      </c>
      <c r="W181">
        <v>16.366619774230259</v>
      </c>
      <c r="X181">
        <v>0.93338022576974211</v>
      </c>
    </row>
    <row r="182" spans="1:24" x14ac:dyDescent="0.3">
      <c r="A182">
        <v>5.425E-2</v>
      </c>
      <c r="B182">
        <v>0</v>
      </c>
      <c r="C182">
        <v>4.05</v>
      </c>
      <c r="D182">
        <v>0</v>
      </c>
      <c r="E182">
        <v>0.51</v>
      </c>
      <c r="F182">
        <v>6.3150000000000004</v>
      </c>
      <c r="G182">
        <v>73.400000000000006</v>
      </c>
      <c r="H182">
        <v>3.3174999999999999</v>
      </c>
      <c r="I182">
        <v>5</v>
      </c>
      <c r="J182">
        <v>296</v>
      </c>
      <c r="K182">
        <v>16.600000000000001</v>
      </c>
      <c r="L182">
        <v>395.6</v>
      </c>
      <c r="M182">
        <v>6.29</v>
      </c>
      <c r="N182">
        <v>24.6</v>
      </c>
      <c r="O182">
        <f t="shared" si="4"/>
        <v>29.137409794284139</v>
      </c>
      <c r="P182">
        <f>Table1[[#This Row],[medv]]-Table1[[#This Row],[pred_medv]]</f>
        <v>-4.5374097942841374</v>
      </c>
      <c r="Q182">
        <f>IF(Table1[[#This Row],[medv]]=0, "Undefined", ABS((N182-O182)/N182))*100</f>
        <v>18.444755261317631</v>
      </c>
      <c r="V182">
        <v>125</v>
      </c>
      <c r="W182">
        <v>20.560998191935738</v>
      </c>
      <c r="X182">
        <v>-1.7609981919357374</v>
      </c>
    </row>
    <row r="183" spans="1:24" x14ac:dyDescent="0.3">
      <c r="A183">
        <v>6.6420000000000007E-2</v>
      </c>
      <c r="B183">
        <v>0</v>
      </c>
      <c r="C183">
        <v>4.05</v>
      </c>
      <c r="D183">
        <v>0</v>
      </c>
      <c r="E183">
        <v>0.51</v>
      </c>
      <c r="F183">
        <v>6.86</v>
      </c>
      <c r="G183">
        <v>74.400000000000006</v>
      </c>
      <c r="H183">
        <v>2.9152999999999998</v>
      </c>
      <c r="I183">
        <v>5</v>
      </c>
      <c r="J183">
        <v>296</v>
      </c>
      <c r="K183">
        <v>16.600000000000001</v>
      </c>
      <c r="L183">
        <v>391.27</v>
      </c>
      <c r="M183">
        <v>6.92</v>
      </c>
      <c r="N183">
        <v>29.9</v>
      </c>
      <c r="O183">
        <f t="shared" si="4"/>
        <v>31.435719677086574</v>
      </c>
      <c r="P183">
        <f>Table1[[#This Row],[medv]]-Table1[[#This Row],[pred_medv]]</f>
        <v>-1.5357196770865755</v>
      </c>
      <c r="Q183">
        <f>IF(Table1[[#This Row],[medv]]=0, "Undefined", ABS((N183-O183)/N183))*100</f>
        <v>5.1361862109918919</v>
      </c>
      <c r="V183">
        <v>126</v>
      </c>
      <c r="W183">
        <v>22.481784461712486</v>
      </c>
      <c r="X183">
        <v>-1.0817844617124877</v>
      </c>
    </row>
    <row r="184" spans="1:24" x14ac:dyDescent="0.3">
      <c r="A184">
        <v>5.7799999999999997E-2</v>
      </c>
      <c r="B184">
        <v>0</v>
      </c>
      <c r="C184">
        <v>2.46</v>
      </c>
      <c r="D184">
        <v>0</v>
      </c>
      <c r="E184">
        <v>0.48799999999999999</v>
      </c>
      <c r="F184">
        <v>6.98</v>
      </c>
      <c r="G184">
        <v>58.4</v>
      </c>
      <c r="H184">
        <v>2.8290000000000002</v>
      </c>
      <c r="I184">
        <v>3</v>
      </c>
      <c r="J184">
        <v>193</v>
      </c>
      <c r="K184">
        <v>17.8</v>
      </c>
      <c r="L184">
        <v>396.9</v>
      </c>
      <c r="M184">
        <v>5.04</v>
      </c>
      <c r="N184">
        <v>37.200000000000003</v>
      </c>
      <c r="O184">
        <f t="shared" si="4"/>
        <v>32.922315680024838</v>
      </c>
      <c r="P184">
        <f>Table1[[#This Row],[medv]]-Table1[[#This Row],[pred_medv]]</f>
        <v>4.2776843199751653</v>
      </c>
      <c r="Q184">
        <f>IF(Table1[[#This Row],[medv]]=0, "Undefined", ABS((N184-O184)/N184))*100</f>
        <v>11.499151397782702</v>
      </c>
      <c r="V184">
        <v>127</v>
      </c>
      <c r="W184">
        <v>14.617066327799058</v>
      </c>
      <c r="X184">
        <v>1.0829336722009408</v>
      </c>
    </row>
    <row r="185" spans="1:24" x14ac:dyDescent="0.3">
      <c r="A185">
        <v>6.5879999999999994E-2</v>
      </c>
      <c r="B185">
        <v>0</v>
      </c>
      <c r="C185">
        <v>2.46</v>
      </c>
      <c r="D185">
        <v>0</v>
      </c>
      <c r="E185">
        <v>0.48799999999999999</v>
      </c>
      <c r="F185">
        <v>7.7649999999999997</v>
      </c>
      <c r="G185">
        <v>83.3</v>
      </c>
      <c r="H185">
        <v>2.7410000000000001</v>
      </c>
      <c r="I185">
        <v>3</v>
      </c>
      <c r="J185">
        <v>193</v>
      </c>
      <c r="K185">
        <v>17.8</v>
      </c>
      <c r="L185">
        <v>395.56</v>
      </c>
      <c r="M185">
        <v>7.56</v>
      </c>
      <c r="N185">
        <v>39.799999999999997</v>
      </c>
      <c r="O185">
        <f t="shared" si="4"/>
        <v>34.72440464377344</v>
      </c>
      <c r="P185">
        <f>Table1[[#This Row],[medv]]-Table1[[#This Row],[pred_medv]]</f>
        <v>5.0755953562265574</v>
      </c>
      <c r="Q185">
        <f>IF(Table1[[#This Row],[medv]]=0, "Undefined", ABS((N185-O185)/N185))*100</f>
        <v>12.75275215132301</v>
      </c>
      <c r="V185">
        <v>128</v>
      </c>
      <c r="W185">
        <v>15.178766839627999</v>
      </c>
      <c r="X185">
        <v>1.0212331603720006</v>
      </c>
    </row>
    <row r="186" spans="1:24" x14ac:dyDescent="0.3">
      <c r="A186">
        <v>6.8879999999999997E-2</v>
      </c>
      <c r="B186">
        <v>0</v>
      </c>
      <c r="C186">
        <v>2.46</v>
      </c>
      <c r="D186">
        <v>0</v>
      </c>
      <c r="E186">
        <v>0.48799999999999999</v>
      </c>
      <c r="F186">
        <v>6.1440000000000001</v>
      </c>
      <c r="G186">
        <v>62.2</v>
      </c>
      <c r="H186">
        <v>2.5979000000000001</v>
      </c>
      <c r="I186">
        <v>3</v>
      </c>
      <c r="J186">
        <v>193</v>
      </c>
      <c r="K186">
        <v>17.8</v>
      </c>
      <c r="L186">
        <v>396.9</v>
      </c>
      <c r="M186">
        <v>9.4499999999999993</v>
      </c>
      <c r="N186">
        <v>36.200000000000003</v>
      </c>
      <c r="O186">
        <f t="shared" si="4"/>
        <v>27.765521106596328</v>
      </c>
      <c r="P186">
        <f>Table1[[#This Row],[medv]]-Table1[[#This Row],[pred_medv]]</f>
        <v>8.434478893403675</v>
      </c>
      <c r="Q186">
        <f>IF(Table1[[#This Row],[medv]]=0, "Undefined", ABS((N186-O186)/N186))*100</f>
        <v>23.299665451391366</v>
      </c>
      <c r="V186">
        <v>129</v>
      </c>
      <c r="W186">
        <v>18.938685923806563</v>
      </c>
      <c r="X186">
        <v>-0.93868592380656324</v>
      </c>
    </row>
    <row r="187" spans="1:24" x14ac:dyDescent="0.3">
      <c r="A187">
        <v>9.103E-2</v>
      </c>
      <c r="B187">
        <v>0</v>
      </c>
      <c r="C187">
        <v>2.46</v>
      </c>
      <c r="D187">
        <v>0</v>
      </c>
      <c r="E187">
        <v>0.48799999999999999</v>
      </c>
      <c r="F187">
        <v>7.1550000000000002</v>
      </c>
      <c r="G187">
        <v>92.2</v>
      </c>
      <c r="H187">
        <v>2.7006000000000001</v>
      </c>
      <c r="I187">
        <v>3</v>
      </c>
      <c r="J187">
        <v>193</v>
      </c>
      <c r="K187">
        <v>17.8</v>
      </c>
      <c r="L187">
        <v>394.12</v>
      </c>
      <c r="M187">
        <v>4.82</v>
      </c>
      <c r="N187">
        <v>37.9</v>
      </c>
      <c r="O187">
        <f t="shared" si="4"/>
        <v>33.887873213241313</v>
      </c>
      <c r="P187">
        <f>Table1[[#This Row],[medv]]-Table1[[#This Row],[pred_medv]]</f>
        <v>4.0121267867586852</v>
      </c>
      <c r="Q187">
        <f>IF(Table1[[#This Row],[medv]]=0, "Undefined", ABS((N187-O187)/N187))*100</f>
        <v>10.586086508598115</v>
      </c>
      <c r="V187">
        <v>130</v>
      </c>
      <c r="W187">
        <v>14.055732851034616</v>
      </c>
      <c r="X187">
        <v>0.24426714896538471</v>
      </c>
    </row>
    <row r="188" spans="1:24" x14ac:dyDescent="0.3">
      <c r="A188">
        <v>0.10008</v>
      </c>
      <c r="B188">
        <v>0</v>
      </c>
      <c r="C188">
        <v>2.46</v>
      </c>
      <c r="D188">
        <v>0</v>
      </c>
      <c r="E188">
        <v>0.48799999999999999</v>
      </c>
      <c r="F188">
        <v>6.5629999999999997</v>
      </c>
      <c r="G188">
        <v>95.6</v>
      </c>
      <c r="H188">
        <v>2.847</v>
      </c>
      <c r="I188">
        <v>3</v>
      </c>
      <c r="J188">
        <v>193</v>
      </c>
      <c r="K188">
        <v>17.8</v>
      </c>
      <c r="L188">
        <v>396.9</v>
      </c>
      <c r="M188">
        <v>5.68</v>
      </c>
      <c r="N188">
        <v>32.5</v>
      </c>
      <c r="O188">
        <f t="shared" si="4"/>
        <v>30.992380360148559</v>
      </c>
      <c r="P188">
        <f>Table1[[#This Row],[medv]]-Table1[[#This Row],[pred_medv]]</f>
        <v>1.5076196398514412</v>
      </c>
      <c r="Q188">
        <f>IF(Table1[[#This Row],[medv]]=0, "Undefined", ABS((N188-O188)/N188))*100</f>
        <v>4.638829661081358</v>
      </c>
      <c r="V188">
        <v>131</v>
      </c>
      <c r="W188">
        <v>20.035273989263178</v>
      </c>
      <c r="X188">
        <v>-0.83527398926317886</v>
      </c>
    </row>
    <row r="189" spans="1:24" x14ac:dyDescent="0.3">
      <c r="A189">
        <v>8.3080000000000001E-2</v>
      </c>
      <c r="B189">
        <v>0</v>
      </c>
      <c r="C189">
        <v>2.46</v>
      </c>
      <c r="D189">
        <v>0</v>
      </c>
      <c r="E189">
        <v>0.48799999999999999</v>
      </c>
      <c r="F189">
        <v>5.6040000000000001</v>
      </c>
      <c r="G189">
        <v>89.8</v>
      </c>
      <c r="H189">
        <v>2.9878999999999998</v>
      </c>
      <c r="I189">
        <v>3</v>
      </c>
      <c r="J189">
        <v>193</v>
      </c>
      <c r="K189">
        <v>17.8</v>
      </c>
      <c r="L189">
        <v>391</v>
      </c>
      <c r="M189">
        <v>13.98</v>
      </c>
      <c r="N189">
        <v>26.4</v>
      </c>
      <c r="O189">
        <f t="shared" si="4"/>
        <v>22.718200080926728</v>
      </c>
      <c r="P189">
        <f>Table1[[#This Row],[medv]]-Table1[[#This Row],[pred_medv]]</f>
        <v>3.6817999190732706</v>
      </c>
      <c r="Q189">
        <f>IF(Table1[[#This Row],[medv]]=0, "Undefined", ABS((N189-O189)/N189))*100</f>
        <v>13.94621181467148</v>
      </c>
      <c r="V189">
        <v>132</v>
      </c>
      <c r="W189">
        <v>19.410134020930183</v>
      </c>
      <c r="X189">
        <v>0.18986597906981828</v>
      </c>
    </row>
    <row r="190" spans="1:24" x14ac:dyDescent="0.3">
      <c r="A190">
        <v>6.0470000000000003E-2</v>
      </c>
      <c r="B190">
        <v>0</v>
      </c>
      <c r="C190">
        <v>2.46</v>
      </c>
      <c r="D190">
        <v>0</v>
      </c>
      <c r="E190">
        <v>0.48799999999999999</v>
      </c>
      <c r="F190">
        <v>6.1529999999999996</v>
      </c>
      <c r="G190">
        <v>68.8</v>
      </c>
      <c r="H190">
        <v>3.2797000000000001</v>
      </c>
      <c r="I190">
        <v>3</v>
      </c>
      <c r="J190">
        <v>193</v>
      </c>
      <c r="K190">
        <v>17.8</v>
      </c>
      <c r="L190">
        <v>387.11</v>
      </c>
      <c r="M190">
        <v>13.15</v>
      </c>
      <c r="N190">
        <v>29.6</v>
      </c>
      <c r="O190">
        <f t="shared" si="4"/>
        <v>24.766478098957286</v>
      </c>
      <c r="P190">
        <f>Table1[[#This Row],[medv]]-Table1[[#This Row],[pred_medv]]</f>
        <v>4.8335219010427153</v>
      </c>
      <c r="Q190">
        <f>IF(Table1[[#This Row],[medv]]=0, "Undefined", ABS((N190-O190)/N190))*100</f>
        <v>16.329465881901065</v>
      </c>
      <c r="V190">
        <v>133</v>
      </c>
      <c r="W190">
        <v>20.061915661891049</v>
      </c>
      <c r="X190">
        <v>2.9380843381089505</v>
      </c>
    </row>
    <row r="191" spans="1:24" x14ac:dyDescent="0.3">
      <c r="A191">
        <v>5.602E-2</v>
      </c>
      <c r="B191">
        <v>0</v>
      </c>
      <c r="C191">
        <v>2.46</v>
      </c>
      <c r="D191">
        <v>0</v>
      </c>
      <c r="E191">
        <v>0.48799999999999999</v>
      </c>
      <c r="F191">
        <v>7.8310000000000004</v>
      </c>
      <c r="G191">
        <v>53.6</v>
      </c>
      <c r="H191">
        <v>3.1991999999999998</v>
      </c>
      <c r="I191">
        <v>3</v>
      </c>
      <c r="J191">
        <v>193</v>
      </c>
      <c r="K191">
        <v>17.8</v>
      </c>
      <c r="L191">
        <v>392.63</v>
      </c>
      <c r="M191">
        <v>4.45</v>
      </c>
      <c r="N191">
        <v>50</v>
      </c>
      <c r="O191">
        <f t="shared" si="4"/>
        <v>35.884972262077206</v>
      </c>
      <c r="P191">
        <f>Table1[[#This Row],[medv]]-Table1[[#This Row],[pred_medv]]</f>
        <v>14.115027737922794</v>
      </c>
      <c r="Q191">
        <f>IF(Table1[[#This Row],[medv]]=0, "Undefined", ABS((N191-O191)/N191))*100</f>
        <v>28.230055475845589</v>
      </c>
      <c r="V191">
        <v>134</v>
      </c>
      <c r="W191">
        <v>15.758076731274203</v>
      </c>
      <c r="X191">
        <v>2.6419232687257956</v>
      </c>
    </row>
    <row r="192" spans="1:24" x14ac:dyDescent="0.3">
      <c r="A192">
        <v>7.8750000000000001E-2</v>
      </c>
      <c r="B192">
        <v>45</v>
      </c>
      <c r="C192">
        <v>3.44</v>
      </c>
      <c r="D192">
        <v>0</v>
      </c>
      <c r="E192">
        <v>0.437</v>
      </c>
      <c r="F192">
        <v>6.782</v>
      </c>
      <c r="G192">
        <v>41.1</v>
      </c>
      <c r="H192">
        <v>3.7886000000000002</v>
      </c>
      <c r="I192">
        <v>5</v>
      </c>
      <c r="J192">
        <v>398</v>
      </c>
      <c r="K192">
        <v>15.2</v>
      </c>
      <c r="L192">
        <v>393.87</v>
      </c>
      <c r="M192">
        <v>6.68</v>
      </c>
      <c r="N192">
        <v>32</v>
      </c>
      <c r="O192">
        <f t="shared" si="4"/>
        <v>33.424767220315587</v>
      </c>
      <c r="P192">
        <f>Table1[[#This Row],[medv]]-Table1[[#This Row],[pred_medv]]</f>
        <v>-1.4247672203155872</v>
      </c>
      <c r="Q192">
        <f>IF(Table1[[#This Row],[medv]]=0, "Undefined", ABS((N192-O192)/N192))*100</f>
        <v>4.4523975634862101</v>
      </c>
      <c r="V192">
        <v>135</v>
      </c>
      <c r="W192">
        <v>13.256452381605321</v>
      </c>
      <c r="X192">
        <v>2.3435476183946786</v>
      </c>
    </row>
    <row r="193" spans="1:24" x14ac:dyDescent="0.3">
      <c r="A193">
        <v>0.12579000000000001</v>
      </c>
      <c r="B193">
        <v>45</v>
      </c>
      <c r="C193">
        <v>3.44</v>
      </c>
      <c r="D193">
        <v>0</v>
      </c>
      <c r="E193">
        <v>0.437</v>
      </c>
      <c r="F193">
        <v>6.556</v>
      </c>
      <c r="G193">
        <v>29.1</v>
      </c>
      <c r="H193">
        <v>4.5667</v>
      </c>
      <c r="I193">
        <v>5</v>
      </c>
      <c r="J193">
        <v>398</v>
      </c>
      <c r="K193">
        <v>15.2</v>
      </c>
      <c r="L193">
        <v>382.84</v>
      </c>
      <c r="M193">
        <v>4.5599999999999996</v>
      </c>
      <c r="N193">
        <v>29.8</v>
      </c>
      <c r="O193">
        <f t="shared" si="4"/>
        <v>32.411991465602064</v>
      </c>
      <c r="P193">
        <f>Table1[[#This Row],[medv]]-Table1[[#This Row],[pred_medv]]</f>
        <v>-2.6119914656020633</v>
      </c>
      <c r="Q193">
        <f>IF(Table1[[#This Row],[medv]]=0, "Undefined", ABS((N193-O193)/N193))*100</f>
        <v>8.7650720322216902</v>
      </c>
      <c r="V193">
        <v>136</v>
      </c>
      <c r="W193">
        <v>17.262777349883621</v>
      </c>
      <c r="X193">
        <v>0.83722265011638086</v>
      </c>
    </row>
    <row r="194" spans="1:24" x14ac:dyDescent="0.3">
      <c r="A194">
        <v>8.3699999999999997E-2</v>
      </c>
      <c r="B194">
        <v>45</v>
      </c>
      <c r="C194">
        <v>3.44</v>
      </c>
      <c r="D194">
        <v>0</v>
      </c>
      <c r="E194">
        <v>0.437</v>
      </c>
      <c r="F194">
        <v>7.1849999999999996</v>
      </c>
      <c r="G194">
        <v>38.9</v>
      </c>
      <c r="H194">
        <v>4.5667</v>
      </c>
      <c r="I194">
        <v>5</v>
      </c>
      <c r="J194">
        <v>398</v>
      </c>
      <c r="K194">
        <v>15.2</v>
      </c>
      <c r="L194">
        <v>396.9</v>
      </c>
      <c r="M194">
        <v>5.39</v>
      </c>
      <c r="N194">
        <v>34.9</v>
      </c>
      <c r="O194">
        <f t="shared" si="4"/>
        <v>34.515099493421268</v>
      </c>
      <c r="P194">
        <f>Table1[[#This Row],[medv]]-Table1[[#This Row],[pred_medv]]</f>
        <v>0.38490050657873098</v>
      </c>
      <c r="Q194">
        <f>IF(Table1[[#This Row],[medv]]=0, "Undefined", ABS((N194-O194)/N194))*100</f>
        <v>1.1028667810278825</v>
      </c>
      <c r="V194">
        <v>137</v>
      </c>
      <c r="W194">
        <v>15.878418834192678</v>
      </c>
      <c r="X194">
        <v>1.5215811658073211</v>
      </c>
    </row>
    <row r="195" spans="1:24" x14ac:dyDescent="0.3">
      <c r="A195">
        <v>9.0679999999999997E-2</v>
      </c>
      <c r="B195">
        <v>45</v>
      </c>
      <c r="C195">
        <v>3.44</v>
      </c>
      <c r="D195">
        <v>0</v>
      </c>
      <c r="E195">
        <v>0.437</v>
      </c>
      <c r="F195">
        <v>6.9509999999999996</v>
      </c>
      <c r="G195">
        <v>21.5</v>
      </c>
      <c r="H195">
        <v>6.4798</v>
      </c>
      <c r="I195">
        <v>5</v>
      </c>
      <c r="J195">
        <v>398</v>
      </c>
      <c r="K195">
        <v>15.2</v>
      </c>
      <c r="L195">
        <v>377.68</v>
      </c>
      <c r="M195">
        <v>5.0999999999999996</v>
      </c>
      <c r="N195">
        <v>37</v>
      </c>
      <c r="O195">
        <f t="shared" si="4"/>
        <v>30.761094851746151</v>
      </c>
      <c r="P195">
        <f>Table1[[#This Row],[medv]]-Table1[[#This Row],[pred_medv]]</f>
        <v>6.2389051482538491</v>
      </c>
      <c r="Q195">
        <f>IF(Table1[[#This Row],[medv]]=0, "Undefined", ABS((N195-O195)/N195))*100</f>
        <v>16.861905806091485</v>
      </c>
      <c r="V195">
        <v>138</v>
      </c>
      <c r="W195">
        <v>19.361639540292629</v>
      </c>
      <c r="X195">
        <v>-2.2616395402926273</v>
      </c>
    </row>
    <row r="196" spans="1:24" x14ac:dyDescent="0.3">
      <c r="A196">
        <v>6.9110000000000005E-2</v>
      </c>
      <c r="B196">
        <v>45</v>
      </c>
      <c r="C196">
        <v>3.44</v>
      </c>
      <c r="D196">
        <v>0</v>
      </c>
      <c r="E196">
        <v>0.437</v>
      </c>
      <c r="F196">
        <v>6.7389999999999999</v>
      </c>
      <c r="G196">
        <v>30.8</v>
      </c>
      <c r="H196">
        <v>6.4798</v>
      </c>
      <c r="I196">
        <v>5</v>
      </c>
      <c r="J196">
        <v>398</v>
      </c>
      <c r="K196">
        <v>15.2</v>
      </c>
      <c r="L196">
        <v>389.71</v>
      </c>
      <c r="M196">
        <v>4.6900000000000004</v>
      </c>
      <c r="N196">
        <v>30.5</v>
      </c>
      <c r="O196">
        <f t="shared" si="4"/>
        <v>30.289341406750832</v>
      </c>
      <c r="P196">
        <f>Table1[[#This Row],[medv]]-Table1[[#This Row],[pred_medv]]</f>
        <v>0.21065859324916758</v>
      </c>
      <c r="Q196">
        <f>IF(Table1[[#This Row],[medv]]=0, "Undefined", ABS((N196-O196)/N196))*100</f>
        <v>0.69068391229235271</v>
      </c>
      <c r="V196">
        <v>139</v>
      </c>
      <c r="W196">
        <v>13.814838966995252</v>
      </c>
      <c r="X196">
        <v>-0.51483896699525111</v>
      </c>
    </row>
    <row r="197" spans="1:24" x14ac:dyDescent="0.3">
      <c r="A197">
        <v>8.6639999999999995E-2</v>
      </c>
      <c r="B197">
        <v>45</v>
      </c>
      <c r="C197">
        <v>3.44</v>
      </c>
      <c r="D197">
        <v>0</v>
      </c>
      <c r="E197">
        <v>0.437</v>
      </c>
      <c r="F197">
        <v>7.1779999999999999</v>
      </c>
      <c r="G197">
        <v>26.3</v>
      </c>
      <c r="H197">
        <v>6.4798</v>
      </c>
      <c r="I197">
        <v>5</v>
      </c>
      <c r="J197">
        <v>398</v>
      </c>
      <c r="K197">
        <v>15.2</v>
      </c>
      <c r="L197">
        <v>390.49</v>
      </c>
      <c r="M197">
        <v>2.87</v>
      </c>
      <c r="N197">
        <v>36.4</v>
      </c>
      <c r="O197">
        <f t="shared" ref="O197:O260" si="5">A$2+SUMPRODUCT(B$2:N$2, A197:M197)</f>
        <v>32.919187143206194</v>
      </c>
      <c r="P197">
        <f>Table1[[#This Row],[medv]]-Table1[[#This Row],[pred_medv]]</f>
        <v>3.4808128567938041</v>
      </c>
      <c r="Q197">
        <f>IF(Table1[[#This Row],[medv]]=0, "Undefined", ABS((N197-O197)/N197))*100</f>
        <v>9.5626726834994624</v>
      </c>
      <c r="V197">
        <v>140</v>
      </c>
      <c r="W197">
        <v>16.448814747716177</v>
      </c>
      <c r="X197">
        <v>1.3511852522838232</v>
      </c>
    </row>
    <row r="198" spans="1:24" x14ac:dyDescent="0.3">
      <c r="A198">
        <v>2.1870000000000001E-2</v>
      </c>
      <c r="B198">
        <v>60</v>
      </c>
      <c r="C198">
        <v>2.93</v>
      </c>
      <c r="D198">
        <v>0</v>
      </c>
      <c r="E198">
        <v>0.40100000000000002</v>
      </c>
      <c r="F198">
        <v>6.8</v>
      </c>
      <c r="G198">
        <v>9.9</v>
      </c>
      <c r="H198">
        <v>6.2195999999999998</v>
      </c>
      <c r="I198">
        <v>1</v>
      </c>
      <c r="J198">
        <v>265</v>
      </c>
      <c r="K198">
        <v>15.6</v>
      </c>
      <c r="L198">
        <v>393.37</v>
      </c>
      <c r="M198">
        <v>5.03</v>
      </c>
      <c r="N198">
        <v>31.1</v>
      </c>
      <c r="O198">
        <f t="shared" si="5"/>
        <v>32.112607714019227</v>
      </c>
      <c r="P198">
        <f>Table1[[#This Row],[medv]]-Table1[[#This Row],[pred_medv]]</f>
        <v>-1.0126077140192251</v>
      </c>
      <c r="Q198">
        <f>IF(Table1[[#This Row],[medv]]=0, "Undefined", ABS((N198-O198)/N198))*100</f>
        <v>3.2559733569750007</v>
      </c>
      <c r="V198">
        <v>141</v>
      </c>
      <c r="W198">
        <v>13.571419318672818</v>
      </c>
      <c r="X198">
        <v>0.42858068132718152</v>
      </c>
    </row>
    <row r="199" spans="1:24" x14ac:dyDescent="0.3">
      <c r="A199">
        <v>1.439E-2</v>
      </c>
      <c r="B199">
        <v>60</v>
      </c>
      <c r="C199">
        <v>2.93</v>
      </c>
      <c r="D199">
        <v>0</v>
      </c>
      <c r="E199">
        <v>0.40100000000000002</v>
      </c>
      <c r="F199">
        <v>6.6040000000000001</v>
      </c>
      <c r="G199">
        <v>18.8</v>
      </c>
      <c r="H199">
        <v>6.2195999999999998</v>
      </c>
      <c r="I199">
        <v>1</v>
      </c>
      <c r="J199">
        <v>265</v>
      </c>
      <c r="K199">
        <v>15.6</v>
      </c>
      <c r="L199">
        <v>376.7</v>
      </c>
      <c r="M199">
        <v>4.38</v>
      </c>
      <c r="N199">
        <v>29.1</v>
      </c>
      <c r="O199">
        <f t="shared" si="5"/>
        <v>31.558710043172233</v>
      </c>
      <c r="P199">
        <f>Table1[[#This Row],[medv]]-Table1[[#This Row],[pred_medv]]</f>
        <v>-2.458710043172232</v>
      </c>
      <c r="Q199">
        <f>IF(Table1[[#This Row],[medv]]=0, "Undefined", ABS((N199-O199)/N199))*100</f>
        <v>8.4491754060901432</v>
      </c>
      <c r="V199">
        <v>142</v>
      </c>
      <c r="W199">
        <v>3.9888550829959399</v>
      </c>
      <c r="X199">
        <v>10.41114491700406</v>
      </c>
    </row>
    <row r="200" spans="1:24" x14ac:dyDescent="0.3">
      <c r="A200">
        <v>1.3809999999999999E-2</v>
      </c>
      <c r="B200">
        <v>80</v>
      </c>
      <c r="C200">
        <v>0.46</v>
      </c>
      <c r="D200">
        <v>0</v>
      </c>
      <c r="E200">
        <v>0.42199999999999999</v>
      </c>
      <c r="F200">
        <v>7.875</v>
      </c>
      <c r="G200">
        <v>32</v>
      </c>
      <c r="H200">
        <v>5.6483999999999996</v>
      </c>
      <c r="I200">
        <v>4</v>
      </c>
      <c r="J200">
        <v>255</v>
      </c>
      <c r="K200">
        <v>14.4</v>
      </c>
      <c r="L200">
        <v>394.23</v>
      </c>
      <c r="M200">
        <v>2.97</v>
      </c>
      <c r="N200">
        <v>50</v>
      </c>
      <c r="O200">
        <f t="shared" si="5"/>
        <v>40.845557214226218</v>
      </c>
      <c r="P200">
        <f>Table1[[#This Row],[medv]]-Table1[[#This Row],[pred_medv]]</f>
        <v>9.1544427857737816</v>
      </c>
      <c r="Q200">
        <f>IF(Table1[[#This Row],[medv]]=0, "Undefined", ABS((N200-O200)/N200))*100</f>
        <v>18.308885571547563</v>
      </c>
      <c r="V200">
        <v>143</v>
      </c>
      <c r="W200">
        <v>14.594954779921871</v>
      </c>
      <c r="X200">
        <v>-1.1949547799218703</v>
      </c>
    </row>
    <row r="201" spans="1:24" x14ac:dyDescent="0.3">
      <c r="A201">
        <v>4.011E-2</v>
      </c>
      <c r="B201">
        <v>80</v>
      </c>
      <c r="C201">
        <v>1.52</v>
      </c>
      <c r="D201">
        <v>0</v>
      </c>
      <c r="E201">
        <v>0.40400000000000003</v>
      </c>
      <c r="F201">
        <v>7.2869999999999999</v>
      </c>
      <c r="G201">
        <v>34.1</v>
      </c>
      <c r="H201">
        <v>7.3090000000000002</v>
      </c>
      <c r="I201">
        <v>2</v>
      </c>
      <c r="J201">
        <v>329</v>
      </c>
      <c r="K201">
        <v>12.6</v>
      </c>
      <c r="L201">
        <v>396.9</v>
      </c>
      <c r="M201">
        <v>4.08</v>
      </c>
      <c r="N201">
        <v>33.299999999999997</v>
      </c>
      <c r="O201">
        <f t="shared" si="5"/>
        <v>36.127700792108421</v>
      </c>
      <c r="P201">
        <f>Table1[[#This Row],[medv]]-Table1[[#This Row],[pred_medv]]</f>
        <v>-2.8277007921084234</v>
      </c>
      <c r="Q201">
        <f>IF(Table1[[#This Row],[medv]]=0, "Undefined", ABS((N201-O201)/N201))*100</f>
        <v>8.4915939702955665</v>
      </c>
      <c r="V201">
        <v>144</v>
      </c>
      <c r="W201">
        <v>12.148814803032039</v>
      </c>
      <c r="X201">
        <v>3.4511851969679608</v>
      </c>
    </row>
    <row r="202" spans="1:24" x14ac:dyDescent="0.3">
      <c r="A202">
        <v>4.666E-2</v>
      </c>
      <c r="B202">
        <v>80</v>
      </c>
      <c r="C202">
        <v>1.52</v>
      </c>
      <c r="D202">
        <v>0</v>
      </c>
      <c r="E202">
        <v>0.40400000000000003</v>
      </c>
      <c r="F202">
        <v>7.1070000000000002</v>
      </c>
      <c r="G202">
        <v>36.6</v>
      </c>
      <c r="H202">
        <v>7.3090000000000002</v>
      </c>
      <c r="I202">
        <v>2</v>
      </c>
      <c r="J202">
        <v>329</v>
      </c>
      <c r="K202">
        <v>12.6</v>
      </c>
      <c r="L202">
        <v>354.31</v>
      </c>
      <c r="M202">
        <v>8.61</v>
      </c>
      <c r="N202">
        <v>30.3</v>
      </c>
      <c r="O202">
        <f t="shared" si="5"/>
        <v>32.669208099773556</v>
      </c>
      <c r="P202">
        <f>Table1[[#This Row],[medv]]-Table1[[#This Row],[pred_medv]]</f>
        <v>-2.3692080997735552</v>
      </c>
      <c r="Q202">
        <f>IF(Table1[[#This Row],[medv]]=0, "Undefined", ABS((N202-O202)/N202))*100</f>
        <v>7.819168646117344</v>
      </c>
      <c r="V202">
        <v>145</v>
      </c>
      <c r="W202">
        <v>8.7282236234231103</v>
      </c>
      <c r="X202">
        <v>3.0717763765768904</v>
      </c>
    </row>
    <row r="203" spans="1:24" x14ac:dyDescent="0.3">
      <c r="A203">
        <v>3.7679999999999998E-2</v>
      </c>
      <c r="B203">
        <v>80</v>
      </c>
      <c r="C203">
        <v>1.52</v>
      </c>
      <c r="D203">
        <v>0</v>
      </c>
      <c r="E203">
        <v>0.40400000000000003</v>
      </c>
      <c r="F203">
        <v>7.274</v>
      </c>
      <c r="G203">
        <v>38.299999999999997</v>
      </c>
      <c r="H203">
        <v>7.3090000000000002</v>
      </c>
      <c r="I203">
        <v>2</v>
      </c>
      <c r="J203">
        <v>329</v>
      </c>
      <c r="K203">
        <v>12.6</v>
      </c>
      <c r="L203">
        <v>392.2</v>
      </c>
      <c r="M203">
        <v>6.62</v>
      </c>
      <c r="N203">
        <v>34.6</v>
      </c>
      <c r="O203">
        <f t="shared" si="5"/>
        <v>34.704691164369123</v>
      </c>
      <c r="P203">
        <f>Table1[[#This Row],[medv]]-Table1[[#This Row],[pred_medv]]</f>
        <v>-0.10469116436912174</v>
      </c>
      <c r="Q203">
        <f>IF(Table1[[#This Row],[medv]]=0, "Undefined", ABS((N203-O203)/N203))*100</f>
        <v>0.30257561956393564</v>
      </c>
      <c r="V203">
        <v>146</v>
      </c>
      <c r="W203">
        <v>12.035853427474281</v>
      </c>
      <c r="X203">
        <v>1.7641465725257195</v>
      </c>
    </row>
    <row r="204" spans="1:24" x14ac:dyDescent="0.3">
      <c r="A204">
        <v>3.15E-2</v>
      </c>
      <c r="B204">
        <v>95</v>
      </c>
      <c r="C204">
        <v>1.47</v>
      </c>
      <c r="D204">
        <v>0</v>
      </c>
      <c r="E204">
        <v>0.40300000000000002</v>
      </c>
      <c r="F204">
        <v>6.9749999999999996</v>
      </c>
      <c r="G204">
        <v>15.3</v>
      </c>
      <c r="H204">
        <v>7.6534000000000004</v>
      </c>
      <c r="I204">
        <v>3</v>
      </c>
      <c r="J204">
        <v>402</v>
      </c>
      <c r="K204">
        <v>17</v>
      </c>
      <c r="L204">
        <v>396.9</v>
      </c>
      <c r="M204">
        <v>4.5599999999999996</v>
      </c>
      <c r="N204">
        <v>34.9</v>
      </c>
      <c r="O204">
        <f t="shared" si="5"/>
        <v>30.093451618117399</v>
      </c>
      <c r="P204">
        <f>Table1[[#This Row],[medv]]-Table1[[#This Row],[pred_medv]]</f>
        <v>4.8065483818825996</v>
      </c>
      <c r="Q204">
        <f>IF(Table1[[#This Row],[medv]]=0, "Undefined", ABS((N204-O204)/N204))*100</f>
        <v>13.77234493376103</v>
      </c>
      <c r="V204">
        <v>147</v>
      </c>
      <c r="W204">
        <v>15.820820579631341</v>
      </c>
      <c r="X204">
        <v>-0.22082057963134183</v>
      </c>
    </row>
    <row r="205" spans="1:24" x14ac:dyDescent="0.3">
      <c r="A205">
        <v>1.7780000000000001E-2</v>
      </c>
      <c r="B205">
        <v>95</v>
      </c>
      <c r="C205">
        <v>1.47</v>
      </c>
      <c r="D205">
        <v>0</v>
      </c>
      <c r="E205">
        <v>0.40300000000000002</v>
      </c>
      <c r="F205">
        <v>7.1349999999999998</v>
      </c>
      <c r="G205">
        <v>13.9</v>
      </c>
      <c r="H205">
        <v>7.6534000000000004</v>
      </c>
      <c r="I205">
        <v>3</v>
      </c>
      <c r="J205">
        <v>402</v>
      </c>
      <c r="K205">
        <v>17</v>
      </c>
      <c r="L205">
        <v>384.3</v>
      </c>
      <c r="M205">
        <v>4.45</v>
      </c>
      <c r="N205">
        <v>32.9</v>
      </c>
      <c r="O205">
        <f t="shared" si="5"/>
        <v>30.643939064854216</v>
      </c>
      <c r="P205">
        <f>Table1[[#This Row],[medv]]-Table1[[#This Row],[pred_medv]]</f>
        <v>2.2560609351457828</v>
      </c>
      <c r="Q205">
        <f>IF(Table1[[#This Row],[medv]]=0, "Undefined", ABS((N205-O205)/N205))*100</f>
        <v>6.8573280703519233</v>
      </c>
      <c r="V205">
        <v>148</v>
      </c>
      <c r="W205">
        <v>8.5149902034330811</v>
      </c>
      <c r="X205">
        <v>6.0850097965669185</v>
      </c>
    </row>
    <row r="206" spans="1:24" x14ac:dyDescent="0.3">
      <c r="A206">
        <v>3.4450000000000001E-2</v>
      </c>
      <c r="B206">
        <v>82.5</v>
      </c>
      <c r="C206">
        <v>2.0299999999999998</v>
      </c>
      <c r="D206">
        <v>0</v>
      </c>
      <c r="E206">
        <v>0.41499999999999998</v>
      </c>
      <c r="F206">
        <v>6.1619999999999999</v>
      </c>
      <c r="G206">
        <v>38.4</v>
      </c>
      <c r="H206">
        <v>6.27</v>
      </c>
      <c r="I206">
        <v>2</v>
      </c>
      <c r="J206">
        <v>348</v>
      </c>
      <c r="K206">
        <v>14.7</v>
      </c>
      <c r="L206">
        <v>393.77</v>
      </c>
      <c r="M206">
        <v>7.43</v>
      </c>
      <c r="N206">
        <v>24.1</v>
      </c>
      <c r="O206">
        <f t="shared" si="5"/>
        <v>29.287195013655577</v>
      </c>
      <c r="P206">
        <f>Table1[[#This Row],[medv]]-Table1[[#This Row],[pred_medv]]</f>
        <v>-5.1871950136555753</v>
      </c>
      <c r="Q206">
        <f>IF(Table1[[#This Row],[medv]]=0, "Undefined", ABS((N206-O206)/N206))*100</f>
        <v>21.523630762056328</v>
      </c>
      <c r="V206">
        <v>149</v>
      </c>
      <c r="W206">
        <v>9.7184413927439444</v>
      </c>
      <c r="X206">
        <v>8.0815586072560563</v>
      </c>
    </row>
    <row r="207" spans="1:24" x14ac:dyDescent="0.3">
      <c r="A207">
        <v>2.1770000000000001E-2</v>
      </c>
      <c r="B207">
        <v>82.5</v>
      </c>
      <c r="C207">
        <v>2.0299999999999998</v>
      </c>
      <c r="D207">
        <v>0</v>
      </c>
      <c r="E207">
        <v>0.41499999999999998</v>
      </c>
      <c r="F207">
        <v>7.61</v>
      </c>
      <c r="G207">
        <v>15.7</v>
      </c>
      <c r="H207">
        <v>6.27</v>
      </c>
      <c r="I207">
        <v>2</v>
      </c>
      <c r="J207">
        <v>348</v>
      </c>
      <c r="K207">
        <v>14.7</v>
      </c>
      <c r="L207">
        <v>395.38</v>
      </c>
      <c r="M207">
        <v>3.11</v>
      </c>
      <c r="N207">
        <v>42.3</v>
      </c>
      <c r="O207">
        <f t="shared" si="5"/>
        <v>37.071483920203391</v>
      </c>
      <c r="P207">
        <f>Table1[[#This Row],[medv]]-Table1[[#This Row],[pred_medv]]</f>
        <v>5.2285160797966057</v>
      </c>
      <c r="Q207">
        <f>IF(Table1[[#This Row],[medv]]=0, "Undefined", ABS((N207-O207)/N207))*100</f>
        <v>12.360558108266208</v>
      </c>
      <c r="V207">
        <v>150</v>
      </c>
      <c r="W207">
        <v>14.804513737403598</v>
      </c>
      <c r="X207">
        <v>0.59548626259640258</v>
      </c>
    </row>
    <row r="208" spans="1:24" x14ac:dyDescent="0.3">
      <c r="A208">
        <v>3.5099999999999999E-2</v>
      </c>
      <c r="B208">
        <v>95</v>
      </c>
      <c r="C208">
        <v>2.68</v>
      </c>
      <c r="D208">
        <v>0</v>
      </c>
      <c r="E208">
        <v>0.41610000000000003</v>
      </c>
      <c r="F208">
        <v>7.8529999999999998</v>
      </c>
      <c r="G208">
        <v>33.200000000000003</v>
      </c>
      <c r="H208">
        <v>5.1180000000000003</v>
      </c>
      <c r="I208">
        <v>4</v>
      </c>
      <c r="J208">
        <v>224</v>
      </c>
      <c r="K208">
        <v>14.7</v>
      </c>
      <c r="L208">
        <v>392.78</v>
      </c>
      <c r="M208">
        <v>3.81</v>
      </c>
      <c r="N208">
        <v>48.5</v>
      </c>
      <c r="O208">
        <f t="shared" si="5"/>
        <v>42.031931238383962</v>
      </c>
      <c r="P208">
        <f>Table1[[#This Row],[medv]]-Table1[[#This Row],[pred_medv]]</f>
        <v>6.4680687616160384</v>
      </c>
      <c r="Q208">
        <f>IF(Table1[[#This Row],[medv]]=0, "Undefined", ABS((N208-O208)/N208))*100</f>
        <v>13.33622425075472</v>
      </c>
      <c r="V208">
        <v>151</v>
      </c>
      <c r="W208">
        <v>20.838581528682816</v>
      </c>
      <c r="X208">
        <v>0.66141847131718379</v>
      </c>
    </row>
    <row r="209" spans="1:24" x14ac:dyDescent="0.3">
      <c r="A209">
        <v>2.009E-2</v>
      </c>
      <c r="B209">
        <v>95</v>
      </c>
      <c r="C209">
        <v>2.68</v>
      </c>
      <c r="D209">
        <v>0</v>
      </c>
      <c r="E209">
        <v>0.41610000000000003</v>
      </c>
      <c r="F209">
        <v>8.0340000000000007</v>
      </c>
      <c r="G209">
        <v>31.9</v>
      </c>
      <c r="H209">
        <v>5.1180000000000003</v>
      </c>
      <c r="I209">
        <v>4</v>
      </c>
      <c r="J209">
        <v>224</v>
      </c>
      <c r="K209">
        <v>14.7</v>
      </c>
      <c r="L209">
        <v>390.55</v>
      </c>
      <c r="M209">
        <v>2.88</v>
      </c>
      <c r="N209">
        <v>50</v>
      </c>
      <c r="O209">
        <f t="shared" si="5"/>
        <v>43.189498436970155</v>
      </c>
      <c r="P209">
        <f>Table1[[#This Row],[medv]]-Table1[[#This Row],[pred_medv]]</f>
        <v>6.8105015630298453</v>
      </c>
      <c r="Q209">
        <f>IF(Table1[[#This Row],[medv]]=0, "Undefined", ABS((N209-O209)/N209))*100</f>
        <v>13.621003126059691</v>
      </c>
      <c r="V209">
        <v>152</v>
      </c>
      <c r="W209">
        <v>18.301011693579781</v>
      </c>
      <c r="X209">
        <v>1.2989883064202203</v>
      </c>
    </row>
    <row r="210" spans="1:24" x14ac:dyDescent="0.3">
      <c r="A210">
        <v>0.13642000000000001</v>
      </c>
      <c r="B210">
        <v>0</v>
      </c>
      <c r="C210">
        <v>10.59</v>
      </c>
      <c r="D210">
        <v>0</v>
      </c>
      <c r="E210">
        <v>0.48899999999999999</v>
      </c>
      <c r="F210">
        <v>5.891</v>
      </c>
      <c r="G210">
        <v>22.3</v>
      </c>
      <c r="H210">
        <v>3.9453999999999998</v>
      </c>
      <c r="I210">
        <v>4</v>
      </c>
      <c r="J210">
        <v>277</v>
      </c>
      <c r="K210">
        <v>18.600000000000001</v>
      </c>
      <c r="L210">
        <v>396.9</v>
      </c>
      <c r="M210">
        <v>10.87</v>
      </c>
      <c r="N210">
        <v>22.6</v>
      </c>
      <c r="O210">
        <f t="shared" si="5"/>
        <v>22.690347963777491</v>
      </c>
      <c r="P210">
        <f>Table1[[#This Row],[medv]]-Table1[[#This Row],[pred_medv]]</f>
        <v>-9.0347963777489326E-2</v>
      </c>
      <c r="Q210">
        <f>IF(Table1[[#This Row],[medv]]=0, "Undefined", ABS((N210-O210)/N210))*100</f>
        <v>0.39976975122782887</v>
      </c>
      <c r="V210">
        <v>153</v>
      </c>
      <c r="W210">
        <v>20.122825578502066</v>
      </c>
      <c r="X210">
        <v>-4.8228255785020657</v>
      </c>
    </row>
    <row r="211" spans="1:24" x14ac:dyDescent="0.3">
      <c r="A211">
        <v>0.22969000000000001</v>
      </c>
      <c r="B211">
        <v>0</v>
      </c>
      <c r="C211">
        <v>10.59</v>
      </c>
      <c r="D211">
        <v>0</v>
      </c>
      <c r="E211">
        <v>0.48899999999999999</v>
      </c>
      <c r="F211">
        <v>6.3259999999999996</v>
      </c>
      <c r="G211">
        <v>52.5</v>
      </c>
      <c r="H211">
        <v>4.3548999999999998</v>
      </c>
      <c r="I211">
        <v>4</v>
      </c>
      <c r="J211">
        <v>277</v>
      </c>
      <c r="K211">
        <v>18.600000000000001</v>
      </c>
      <c r="L211">
        <v>394.87</v>
      </c>
      <c r="M211">
        <v>10.97</v>
      </c>
      <c r="N211">
        <v>24.4</v>
      </c>
      <c r="O211">
        <f t="shared" si="5"/>
        <v>23.682847115427808</v>
      </c>
      <c r="P211">
        <f>Table1[[#This Row],[medv]]-Table1[[#This Row],[pred_medv]]</f>
        <v>0.71715288457219017</v>
      </c>
      <c r="Q211">
        <f>IF(Table1[[#This Row],[medv]]=0, "Undefined", ABS((N211-O211)/N211))*100</f>
        <v>2.9391511662794683</v>
      </c>
      <c r="V211">
        <v>154</v>
      </c>
      <c r="W211">
        <v>17.286018936122819</v>
      </c>
      <c r="X211">
        <v>2.1139810638771799</v>
      </c>
    </row>
    <row r="212" spans="1:24" x14ac:dyDescent="0.3">
      <c r="A212">
        <v>0.25198999999999999</v>
      </c>
      <c r="B212">
        <v>0</v>
      </c>
      <c r="C212">
        <v>10.59</v>
      </c>
      <c r="D212">
        <v>0</v>
      </c>
      <c r="E212">
        <v>0.48899999999999999</v>
      </c>
      <c r="F212">
        <v>5.7830000000000004</v>
      </c>
      <c r="G212">
        <v>72.7</v>
      </c>
      <c r="H212">
        <v>4.3548999999999998</v>
      </c>
      <c r="I212">
        <v>4</v>
      </c>
      <c r="J212">
        <v>277</v>
      </c>
      <c r="K212">
        <v>18.600000000000001</v>
      </c>
      <c r="L212">
        <v>389.43</v>
      </c>
      <c r="M212">
        <v>18.059999999999999</v>
      </c>
      <c r="N212">
        <v>22.5</v>
      </c>
      <c r="O212">
        <f t="shared" si="5"/>
        <v>17.854472136580757</v>
      </c>
      <c r="P212">
        <f>Table1[[#This Row],[medv]]-Table1[[#This Row],[pred_medv]]</f>
        <v>4.6455278634192432</v>
      </c>
      <c r="Q212">
        <f>IF(Table1[[#This Row],[medv]]=0, "Undefined", ABS((N212-O212)/N212))*100</f>
        <v>20.646790504085523</v>
      </c>
      <c r="V212">
        <v>155</v>
      </c>
      <c r="W212">
        <v>22.366002280716266</v>
      </c>
      <c r="X212">
        <v>-5.3660022807162662</v>
      </c>
    </row>
    <row r="213" spans="1:24" x14ac:dyDescent="0.3">
      <c r="A213">
        <v>0.13586999999999999</v>
      </c>
      <c r="B213">
        <v>0</v>
      </c>
      <c r="C213">
        <v>10.59</v>
      </c>
      <c r="D213">
        <v>1</v>
      </c>
      <c r="E213">
        <v>0.48899999999999999</v>
      </c>
      <c r="F213">
        <v>6.0640000000000001</v>
      </c>
      <c r="G213">
        <v>59.1</v>
      </c>
      <c r="H213">
        <v>4.2392000000000003</v>
      </c>
      <c r="I213">
        <v>4</v>
      </c>
      <c r="J213">
        <v>277</v>
      </c>
      <c r="K213">
        <v>18.600000000000001</v>
      </c>
      <c r="L213">
        <v>381.32</v>
      </c>
      <c r="M213">
        <v>14.66</v>
      </c>
      <c r="N213">
        <v>24.4</v>
      </c>
      <c r="O213">
        <f t="shared" si="5"/>
        <v>23.494289920196497</v>
      </c>
      <c r="P213">
        <f>Table1[[#This Row],[medv]]-Table1[[#This Row],[pred_medv]]</f>
        <v>0.9057100798035016</v>
      </c>
      <c r="Q213">
        <f>IF(Table1[[#This Row],[medv]]=0, "Undefined", ABS((N213-O213)/N213))*100</f>
        <v>3.7119265565717283</v>
      </c>
      <c r="V213">
        <v>156</v>
      </c>
      <c r="W213">
        <v>20.103759227359866</v>
      </c>
      <c r="X213">
        <v>-4.5037592273598666</v>
      </c>
    </row>
    <row r="214" spans="1:24" x14ac:dyDescent="0.3">
      <c r="A214">
        <v>0.43570999999999999</v>
      </c>
      <c r="B214">
        <v>0</v>
      </c>
      <c r="C214">
        <v>10.59</v>
      </c>
      <c r="D214">
        <v>1</v>
      </c>
      <c r="E214">
        <v>0.48899999999999999</v>
      </c>
      <c r="F214">
        <v>5.3440000000000003</v>
      </c>
      <c r="G214">
        <v>100</v>
      </c>
      <c r="H214">
        <v>3.875</v>
      </c>
      <c r="I214">
        <v>4</v>
      </c>
      <c r="J214">
        <v>277</v>
      </c>
      <c r="K214">
        <v>18.600000000000001</v>
      </c>
      <c r="L214">
        <v>396.9</v>
      </c>
      <c r="M214">
        <v>23.09</v>
      </c>
      <c r="N214">
        <v>20</v>
      </c>
      <c r="O214">
        <f t="shared" si="5"/>
        <v>17.005877178801718</v>
      </c>
      <c r="P214">
        <f>Table1[[#This Row],[medv]]-Table1[[#This Row],[pred_medv]]</f>
        <v>2.9941228211982818</v>
      </c>
      <c r="Q214">
        <f>IF(Table1[[#This Row],[medv]]=0, "Undefined", ABS((N214-O214)/N214))*100</f>
        <v>14.970614105991409</v>
      </c>
      <c r="V214">
        <v>157</v>
      </c>
      <c r="W214">
        <v>13.621258906723879</v>
      </c>
      <c r="X214">
        <v>-0.52125890672387953</v>
      </c>
    </row>
    <row r="215" spans="1:24" x14ac:dyDescent="0.3">
      <c r="A215">
        <v>0.17446</v>
      </c>
      <c r="B215">
        <v>0</v>
      </c>
      <c r="C215">
        <v>10.59</v>
      </c>
      <c r="D215">
        <v>1</v>
      </c>
      <c r="E215">
        <v>0.48899999999999999</v>
      </c>
      <c r="F215">
        <v>5.96</v>
      </c>
      <c r="G215">
        <v>92.1</v>
      </c>
      <c r="H215">
        <v>3.8771</v>
      </c>
      <c r="I215">
        <v>4</v>
      </c>
      <c r="J215">
        <v>277</v>
      </c>
      <c r="K215">
        <v>18.600000000000001</v>
      </c>
      <c r="L215">
        <v>393.25</v>
      </c>
      <c r="M215">
        <v>17.27</v>
      </c>
      <c r="N215">
        <v>21.7</v>
      </c>
      <c r="O215">
        <f t="shared" si="5"/>
        <v>22.392510963566171</v>
      </c>
      <c r="P215">
        <f>Table1[[#This Row],[medv]]-Table1[[#This Row],[pred_medv]]</f>
        <v>-0.69251096356617126</v>
      </c>
      <c r="Q215">
        <f>IF(Table1[[#This Row],[medv]]=0, "Undefined", ABS((N215-O215)/N215))*100</f>
        <v>3.1912947629777477</v>
      </c>
      <c r="V215">
        <v>158</v>
      </c>
      <c r="W215">
        <v>33.259826968901656</v>
      </c>
      <c r="X215">
        <v>8.040173031098341</v>
      </c>
    </row>
    <row r="216" spans="1:24" x14ac:dyDescent="0.3">
      <c r="A216">
        <v>0.37578</v>
      </c>
      <c r="B216">
        <v>0</v>
      </c>
      <c r="C216">
        <v>10.59</v>
      </c>
      <c r="D216">
        <v>1</v>
      </c>
      <c r="E216">
        <v>0.48899999999999999</v>
      </c>
      <c r="F216">
        <v>5.4039999999999999</v>
      </c>
      <c r="G216">
        <v>88.6</v>
      </c>
      <c r="H216">
        <v>3.665</v>
      </c>
      <c r="I216">
        <v>4</v>
      </c>
      <c r="J216">
        <v>277</v>
      </c>
      <c r="K216">
        <v>18.600000000000001</v>
      </c>
      <c r="L216">
        <v>395.24</v>
      </c>
      <c r="M216">
        <v>23.98</v>
      </c>
      <c r="N216">
        <v>19.3</v>
      </c>
      <c r="O216">
        <f t="shared" si="5"/>
        <v>17.060427538035668</v>
      </c>
      <c r="P216">
        <f>Table1[[#This Row],[medv]]-Table1[[#This Row],[pred_medv]]</f>
        <v>2.2395724619643325</v>
      </c>
      <c r="Q216">
        <f>IF(Table1[[#This Row],[medv]]=0, "Undefined", ABS((N216-O216)/N216))*100</f>
        <v>11.604002393597577</v>
      </c>
      <c r="V216">
        <v>159</v>
      </c>
      <c r="W216">
        <v>29.03017267984518</v>
      </c>
      <c r="X216">
        <v>-4.7301726798451789</v>
      </c>
    </row>
    <row r="217" spans="1:24" x14ac:dyDescent="0.3">
      <c r="A217">
        <v>0.21718999999999999</v>
      </c>
      <c r="B217">
        <v>0</v>
      </c>
      <c r="C217">
        <v>10.59</v>
      </c>
      <c r="D217">
        <v>1</v>
      </c>
      <c r="E217">
        <v>0.48899999999999999</v>
      </c>
      <c r="F217">
        <v>5.8070000000000004</v>
      </c>
      <c r="G217">
        <v>53.8</v>
      </c>
      <c r="H217">
        <v>3.6526000000000001</v>
      </c>
      <c r="I217">
        <v>4</v>
      </c>
      <c r="J217">
        <v>277</v>
      </c>
      <c r="K217">
        <v>18.600000000000001</v>
      </c>
      <c r="L217">
        <v>390.94</v>
      </c>
      <c r="M217">
        <v>16.03</v>
      </c>
      <c r="N217">
        <v>22.4</v>
      </c>
      <c r="O217">
        <f t="shared" si="5"/>
        <v>22.738929214894398</v>
      </c>
      <c r="P217">
        <f>Table1[[#This Row],[medv]]-Table1[[#This Row],[pred_medv]]</f>
        <v>-0.33892921489439942</v>
      </c>
      <c r="Q217">
        <f>IF(Table1[[#This Row],[medv]]=0, "Undefined", ABS((N217-O217)/N217))*100</f>
        <v>1.5130768522071405</v>
      </c>
      <c r="V217">
        <v>160</v>
      </c>
      <c r="W217">
        <v>25.567527693653098</v>
      </c>
      <c r="X217">
        <v>-2.267527693653097</v>
      </c>
    </row>
    <row r="218" spans="1:24" x14ac:dyDescent="0.3">
      <c r="A218">
        <v>0.14052000000000001</v>
      </c>
      <c r="B218">
        <v>0</v>
      </c>
      <c r="C218">
        <v>10.59</v>
      </c>
      <c r="D218">
        <v>0</v>
      </c>
      <c r="E218">
        <v>0.48899999999999999</v>
      </c>
      <c r="F218">
        <v>6.375</v>
      </c>
      <c r="G218">
        <v>32.299999999999997</v>
      </c>
      <c r="H218">
        <v>3.9453999999999998</v>
      </c>
      <c r="I218">
        <v>4</v>
      </c>
      <c r="J218">
        <v>277</v>
      </c>
      <c r="K218">
        <v>18.600000000000001</v>
      </c>
      <c r="L218">
        <v>385.81</v>
      </c>
      <c r="M218">
        <v>9.3800000000000008</v>
      </c>
      <c r="N218">
        <v>28.1</v>
      </c>
      <c r="O218">
        <f t="shared" si="5"/>
        <v>25.219425539207769</v>
      </c>
      <c r="P218">
        <f>Table1[[#This Row],[medv]]-Table1[[#This Row],[pred_medv]]</f>
        <v>2.8805744607922321</v>
      </c>
      <c r="Q218">
        <f>IF(Table1[[#This Row],[medv]]=0, "Undefined", ABS((N218-O218)/N218))*100</f>
        <v>10.251154664741039</v>
      </c>
      <c r="V218">
        <v>161</v>
      </c>
      <c r="W218">
        <v>32.708276658353874</v>
      </c>
      <c r="X218">
        <v>-5.7082766583538742</v>
      </c>
    </row>
    <row r="219" spans="1:24" x14ac:dyDescent="0.3">
      <c r="A219">
        <v>0.28954999999999997</v>
      </c>
      <c r="B219">
        <v>0</v>
      </c>
      <c r="C219">
        <v>10.59</v>
      </c>
      <c r="D219">
        <v>0</v>
      </c>
      <c r="E219">
        <v>0.48899999999999999</v>
      </c>
      <c r="F219">
        <v>5.4119999999999999</v>
      </c>
      <c r="G219">
        <v>9.8000000000000007</v>
      </c>
      <c r="H219">
        <v>3.5874999999999999</v>
      </c>
      <c r="I219">
        <v>4</v>
      </c>
      <c r="J219">
        <v>277</v>
      </c>
      <c r="K219">
        <v>18.600000000000001</v>
      </c>
      <c r="L219">
        <v>348.93</v>
      </c>
      <c r="M219">
        <v>29.55</v>
      </c>
      <c r="N219">
        <v>23.7</v>
      </c>
      <c r="O219">
        <f t="shared" si="5"/>
        <v>11.119167371541927</v>
      </c>
      <c r="P219">
        <f>Table1[[#This Row],[medv]]-Table1[[#This Row],[pred_medv]]</f>
        <v>12.580832628458072</v>
      </c>
      <c r="Q219">
        <f>IF(Table1[[#This Row],[medv]]=0, "Undefined", ABS((N219-O219)/N219))*100</f>
        <v>53.08368197661634</v>
      </c>
      <c r="V219">
        <v>162</v>
      </c>
      <c r="W219">
        <v>36.774670145741354</v>
      </c>
      <c r="X219">
        <v>13.225329854258646</v>
      </c>
    </row>
    <row r="220" spans="1:24" x14ac:dyDescent="0.3">
      <c r="A220">
        <v>0.19802</v>
      </c>
      <c r="B220">
        <v>0</v>
      </c>
      <c r="C220">
        <v>10.59</v>
      </c>
      <c r="D220">
        <v>0</v>
      </c>
      <c r="E220">
        <v>0.48899999999999999</v>
      </c>
      <c r="F220">
        <v>6.1820000000000004</v>
      </c>
      <c r="G220">
        <v>42.4</v>
      </c>
      <c r="H220">
        <v>3.9453999999999998</v>
      </c>
      <c r="I220">
        <v>4</v>
      </c>
      <c r="J220">
        <v>277</v>
      </c>
      <c r="K220">
        <v>18.600000000000001</v>
      </c>
      <c r="L220">
        <v>393.63</v>
      </c>
      <c r="M220">
        <v>9.4700000000000006</v>
      </c>
      <c r="N220">
        <v>25</v>
      </c>
      <c r="O220">
        <f t="shared" si="5"/>
        <v>24.510491479279526</v>
      </c>
      <c r="P220">
        <f>Table1[[#This Row],[medv]]-Table1[[#This Row],[pred_medv]]</f>
        <v>0.48950852072047368</v>
      </c>
      <c r="Q220">
        <f>IF(Table1[[#This Row],[medv]]=0, "Undefined", ABS((N220-O220)/N220))*100</f>
        <v>1.9580340828818945</v>
      </c>
      <c r="V220">
        <v>163</v>
      </c>
      <c r="W220">
        <v>40.557658444580497</v>
      </c>
      <c r="X220">
        <v>9.4423415554195032</v>
      </c>
    </row>
    <row r="221" spans="1:24" x14ac:dyDescent="0.3">
      <c r="A221">
        <v>4.5600000000000002E-2</v>
      </c>
      <c r="B221">
        <v>0</v>
      </c>
      <c r="C221">
        <v>13.89</v>
      </c>
      <c r="D221">
        <v>1</v>
      </c>
      <c r="E221">
        <v>0.55000000000000004</v>
      </c>
      <c r="F221">
        <v>5.8879999999999999</v>
      </c>
      <c r="G221">
        <v>56</v>
      </c>
      <c r="H221">
        <v>3.1120999999999999</v>
      </c>
      <c r="I221">
        <v>5</v>
      </c>
      <c r="J221">
        <v>276</v>
      </c>
      <c r="K221">
        <v>16.399999999999999</v>
      </c>
      <c r="L221">
        <v>392.8</v>
      </c>
      <c r="M221">
        <v>13.51</v>
      </c>
      <c r="N221">
        <v>23.3</v>
      </c>
      <c r="O221">
        <f t="shared" si="5"/>
        <v>26.603347747620763</v>
      </c>
      <c r="P221">
        <f>Table1[[#This Row],[medv]]-Table1[[#This Row],[pred_medv]]</f>
        <v>-3.3033477476207622</v>
      </c>
      <c r="Q221">
        <f>IF(Table1[[#This Row],[medv]]=0, "Undefined", ABS((N221-O221)/N221))*100</f>
        <v>14.177458144295116</v>
      </c>
      <c r="V221">
        <v>164</v>
      </c>
      <c r="W221">
        <v>41.847281677041217</v>
      </c>
      <c r="X221">
        <v>8.1527183229587834</v>
      </c>
    </row>
    <row r="222" spans="1:24" x14ac:dyDescent="0.3">
      <c r="A222">
        <v>7.0129999999999998E-2</v>
      </c>
      <c r="B222">
        <v>0</v>
      </c>
      <c r="C222">
        <v>13.89</v>
      </c>
      <c r="D222">
        <v>0</v>
      </c>
      <c r="E222">
        <v>0.55000000000000004</v>
      </c>
      <c r="F222">
        <v>6.6420000000000003</v>
      </c>
      <c r="G222">
        <v>85.1</v>
      </c>
      <c r="H222">
        <v>3.4211</v>
      </c>
      <c r="I222">
        <v>5</v>
      </c>
      <c r="J222">
        <v>276</v>
      </c>
      <c r="K222">
        <v>16.399999999999999</v>
      </c>
      <c r="L222">
        <v>392.78</v>
      </c>
      <c r="M222">
        <v>9.69</v>
      </c>
      <c r="N222">
        <v>28.7</v>
      </c>
      <c r="O222">
        <f t="shared" si="5"/>
        <v>28.355187127088328</v>
      </c>
      <c r="P222">
        <f>Table1[[#This Row],[medv]]-Table1[[#This Row],[pred_medv]]</f>
        <v>0.34481287291167106</v>
      </c>
      <c r="Q222">
        <f>IF(Table1[[#This Row],[medv]]=0, "Undefined", ABS((N222-O222)/N222))*100</f>
        <v>1.2014385815737667</v>
      </c>
      <c r="V222">
        <v>165</v>
      </c>
      <c r="W222">
        <v>24.788673790997635</v>
      </c>
      <c r="X222">
        <v>-2.0886737909976354</v>
      </c>
    </row>
    <row r="223" spans="1:24" x14ac:dyDescent="0.3">
      <c r="A223">
        <v>0.11069</v>
      </c>
      <c r="B223">
        <v>0</v>
      </c>
      <c r="C223">
        <v>13.89</v>
      </c>
      <c r="D223">
        <v>1</v>
      </c>
      <c r="E223">
        <v>0.55000000000000004</v>
      </c>
      <c r="F223">
        <v>5.9509999999999996</v>
      </c>
      <c r="G223">
        <v>93.8</v>
      </c>
      <c r="H223">
        <v>2.8893</v>
      </c>
      <c r="I223">
        <v>5</v>
      </c>
      <c r="J223">
        <v>276</v>
      </c>
      <c r="K223">
        <v>16.399999999999999</v>
      </c>
      <c r="L223">
        <v>396.9</v>
      </c>
      <c r="M223">
        <v>17.920000000000002</v>
      </c>
      <c r="N223">
        <v>21.5</v>
      </c>
      <c r="O223">
        <f t="shared" si="5"/>
        <v>24.915254636052751</v>
      </c>
      <c r="P223">
        <f>Table1[[#This Row],[medv]]-Table1[[#This Row],[pred_medv]]</f>
        <v>-3.4152546360527509</v>
      </c>
      <c r="Q223">
        <f>IF(Table1[[#This Row],[medv]]=0, "Undefined", ABS((N223-O223)/N223))*100</f>
        <v>15.884905283966283</v>
      </c>
      <c r="V223">
        <v>166</v>
      </c>
      <c r="W223">
        <v>25.378892377693443</v>
      </c>
      <c r="X223">
        <v>-0.37889237769344319</v>
      </c>
    </row>
    <row r="224" spans="1:24" x14ac:dyDescent="0.3">
      <c r="A224">
        <v>0.11425</v>
      </c>
      <c r="B224">
        <v>0</v>
      </c>
      <c r="C224">
        <v>13.89</v>
      </c>
      <c r="D224">
        <v>1</v>
      </c>
      <c r="E224">
        <v>0.55000000000000004</v>
      </c>
      <c r="F224">
        <v>6.3730000000000002</v>
      </c>
      <c r="G224">
        <v>92.4</v>
      </c>
      <c r="H224">
        <v>3.3633000000000002</v>
      </c>
      <c r="I224">
        <v>5</v>
      </c>
      <c r="J224">
        <v>276</v>
      </c>
      <c r="K224">
        <v>16.399999999999999</v>
      </c>
      <c r="L224">
        <v>393.74</v>
      </c>
      <c r="M224">
        <v>10.5</v>
      </c>
      <c r="N224">
        <v>23</v>
      </c>
      <c r="O224">
        <f t="shared" si="5"/>
        <v>29.68652767812388</v>
      </c>
      <c r="P224">
        <f>Table1[[#This Row],[medv]]-Table1[[#This Row],[pred_medv]]</f>
        <v>-6.6865276781238805</v>
      </c>
      <c r="Q224">
        <f>IF(Table1[[#This Row],[medv]]=0, "Undefined", ABS((N224-O224)/N224))*100</f>
        <v>29.071859470103828</v>
      </c>
      <c r="V224">
        <v>167</v>
      </c>
      <c r="W224">
        <v>37.20347454599947</v>
      </c>
      <c r="X224">
        <v>12.79652545400053</v>
      </c>
    </row>
    <row r="225" spans="1:24" x14ac:dyDescent="0.3">
      <c r="A225">
        <v>0.35809000000000002</v>
      </c>
      <c r="B225">
        <v>0</v>
      </c>
      <c r="C225">
        <v>6.2</v>
      </c>
      <c r="D225">
        <v>1</v>
      </c>
      <c r="E225">
        <v>0.50700000000000001</v>
      </c>
      <c r="F225">
        <v>6.9509999999999996</v>
      </c>
      <c r="G225">
        <v>88.5</v>
      </c>
      <c r="H225">
        <v>2.8616999999999999</v>
      </c>
      <c r="I225">
        <v>8</v>
      </c>
      <c r="J225">
        <v>307</v>
      </c>
      <c r="K225">
        <v>17.399999999999999</v>
      </c>
      <c r="L225">
        <v>391.7</v>
      </c>
      <c r="M225">
        <v>9.7100000000000009</v>
      </c>
      <c r="N225">
        <v>26.7</v>
      </c>
      <c r="O225">
        <f t="shared" si="5"/>
        <v>33.184197456336264</v>
      </c>
      <c r="P225">
        <f>Table1[[#This Row],[medv]]-Table1[[#This Row],[pred_medv]]</f>
        <v>-6.4841974563362648</v>
      </c>
      <c r="Q225">
        <f>IF(Table1[[#This Row],[medv]]=0, "Undefined", ABS((N225-O225)/N225))*100</f>
        <v>24.285383731596497</v>
      </c>
      <c r="V225">
        <v>168</v>
      </c>
      <c r="W225">
        <v>23.087487473372359</v>
      </c>
      <c r="X225">
        <v>0.71251252662764131</v>
      </c>
    </row>
    <row r="226" spans="1:24" x14ac:dyDescent="0.3">
      <c r="A226">
        <v>0.40771000000000002</v>
      </c>
      <c r="B226">
        <v>0</v>
      </c>
      <c r="C226">
        <v>6.2</v>
      </c>
      <c r="D226">
        <v>1</v>
      </c>
      <c r="E226">
        <v>0.50700000000000001</v>
      </c>
      <c r="F226">
        <v>6.1639999999999997</v>
      </c>
      <c r="G226">
        <v>91.3</v>
      </c>
      <c r="H226">
        <v>3.048</v>
      </c>
      <c r="I226">
        <v>8</v>
      </c>
      <c r="J226">
        <v>307</v>
      </c>
      <c r="K226">
        <v>17.399999999999999</v>
      </c>
      <c r="L226">
        <v>395.24</v>
      </c>
      <c r="M226">
        <v>21.46</v>
      </c>
      <c r="N226">
        <v>21.7</v>
      </c>
      <c r="O226">
        <f t="shared" si="5"/>
        <v>23.774566559646424</v>
      </c>
      <c r="P226">
        <f>Table1[[#This Row],[medv]]-Table1[[#This Row],[pred_medv]]</f>
        <v>-2.0745665596464242</v>
      </c>
      <c r="Q226">
        <f>IF(Table1[[#This Row],[medv]]=0, "Undefined", ABS((N226-O226)/N226))*100</f>
        <v>9.5602145605825992</v>
      </c>
      <c r="V226">
        <v>169</v>
      </c>
      <c r="W226">
        <v>26.402739552736534</v>
      </c>
      <c r="X226">
        <v>-2.6027395527365336</v>
      </c>
    </row>
    <row r="227" spans="1:24" x14ac:dyDescent="0.3">
      <c r="A227">
        <v>0.62356</v>
      </c>
      <c r="B227">
        <v>0</v>
      </c>
      <c r="C227">
        <v>6.2</v>
      </c>
      <c r="D227">
        <v>1</v>
      </c>
      <c r="E227">
        <v>0.50700000000000001</v>
      </c>
      <c r="F227">
        <v>6.8789999999999996</v>
      </c>
      <c r="G227">
        <v>77.7</v>
      </c>
      <c r="H227">
        <v>3.2721</v>
      </c>
      <c r="I227">
        <v>8</v>
      </c>
      <c r="J227">
        <v>307</v>
      </c>
      <c r="K227">
        <v>17.399999999999999</v>
      </c>
      <c r="L227">
        <v>390.39</v>
      </c>
      <c r="M227">
        <v>9.93</v>
      </c>
      <c r="N227">
        <v>27.5</v>
      </c>
      <c r="O227">
        <f t="shared" si="5"/>
        <v>32.14051957851413</v>
      </c>
      <c r="P227">
        <f>Table1[[#This Row],[medv]]-Table1[[#This Row],[pred_medv]]</f>
        <v>-4.6405195785141302</v>
      </c>
      <c r="Q227">
        <f>IF(Table1[[#This Row],[medv]]=0, "Undefined", ABS((N227-O227)/N227))*100</f>
        <v>16.87461664914229</v>
      </c>
      <c r="V227">
        <v>170</v>
      </c>
      <c r="W227">
        <v>26.653821137264451</v>
      </c>
      <c r="X227">
        <v>-4.3538211372644504</v>
      </c>
    </row>
    <row r="228" spans="1:24" x14ac:dyDescent="0.3">
      <c r="A228">
        <v>0.61470000000000002</v>
      </c>
      <c r="B228">
        <v>0</v>
      </c>
      <c r="C228">
        <v>6.2</v>
      </c>
      <c r="D228">
        <v>0</v>
      </c>
      <c r="E228">
        <v>0.50700000000000001</v>
      </c>
      <c r="F228">
        <v>6.6180000000000003</v>
      </c>
      <c r="G228">
        <v>80.8</v>
      </c>
      <c r="H228">
        <v>3.2721</v>
      </c>
      <c r="I228">
        <v>8</v>
      </c>
      <c r="J228">
        <v>307</v>
      </c>
      <c r="K228">
        <v>17.399999999999999</v>
      </c>
      <c r="L228">
        <v>396.9</v>
      </c>
      <c r="M228">
        <v>7.6</v>
      </c>
      <c r="N228">
        <v>30.1</v>
      </c>
      <c r="O228">
        <f t="shared" si="5"/>
        <v>29.745819895723226</v>
      </c>
      <c r="P228">
        <f>Table1[[#This Row],[medv]]-Table1[[#This Row],[pred_medv]]</f>
        <v>0.35418010427677515</v>
      </c>
      <c r="Q228">
        <f>IF(Table1[[#This Row],[medv]]=0, "Undefined", ABS((N228-O228)/N228))*100</f>
        <v>1.1766780872982563</v>
      </c>
      <c r="V228">
        <v>171</v>
      </c>
      <c r="W228">
        <v>22.555146604887089</v>
      </c>
      <c r="X228">
        <v>-5.15514660488709</v>
      </c>
    </row>
    <row r="229" spans="1:24" x14ac:dyDescent="0.3">
      <c r="A229">
        <v>0.31533</v>
      </c>
      <c r="B229">
        <v>0</v>
      </c>
      <c r="C229">
        <v>6.2</v>
      </c>
      <c r="D229">
        <v>0</v>
      </c>
      <c r="E229">
        <v>0.504</v>
      </c>
      <c r="F229">
        <v>8.266</v>
      </c>
      <c r="G229">
        <v>78.3</v>
      </c>
      <c r="H229">
        <v>2.8944000000000001</v>
      </c>
      <c r="I229">
        <v>8</v>
      </c>
      <c r="J229">
        <v>307</v>
      </c>
      <c r="K229">
        <v>17.399999999999999</v>
      </c>
      <c r="L229">
        <v>385.05</v>
      </c>
      <c r="M229">
        <v>4.1399999999999997</v>
      </c>
      <c r="N229">
        <v>44.8</v>
      </c>
      <c r="O229">
        <f t="shared" si="5"/>
        <v>38.371024526993203</v>
      </c>
      <c r="P229">
        <f>Table1[[#This Row],[medv]]-Table1[[#This Row],[pred_medv]]</f>
        <v>6.4289754730067941</v>
      </c>
      <c r="Q229">
        <f>IF(Table1[[#This Row],[medv]]=0, "Undefined", ABS((N229-O229)/N229))*100</f>
        <v>14.350391680818738</v>
      </c>
      <c r="V229">
        <v>172</v>
      </c>
      <c r="W229">
        <v>24.290828117748948</v>
      </c>
      <c r="X229">
        <v>-5.1908281177489464</v>
      </c>
    </row>
    <row r="230" spans="1:24" x14ac:dyDescent="0.3">
      <c r="A230">
        <v>0.52693000000000001</v>
      </c>
      <c r="B230">
        <v>0</v>
      </c>
      <c r="C230">
        <v>6.2</v>
      </c>
      <c r="D230">
        <v>0</v>
      </c>
      <c r="E230">
        <v>0.504</v>
      </c>
      <c r="F230">
        <v>8.7249999999999996</v>
      </c>
      <c r="G230">
        <v>83</v>
      </c>
      <c r="H230">
        <v>2.8944000000000001</v>
      </c>
      <c r="I230">
        <v>8</v>
      </c>
      <c r="J230">
        <v>307</v>
      </c>
      <c r="K230">
        <v>17.399999999999999</v>
      </c>
      <c r="L230">
        <v>382</v>
      </c>
      <c r="M230">
        <v>4.63</v>
      </c>
      <c r="N230">
        <v>50</v>
      </c>
      <c r="O230">
        <f t="shared" si="5"/>
        <v>39.814618670275713</v>
      </c>
      <c r="P230">
        <f>Table1[[#This Row],[medv]]-Table1[[#This Row],[pred_medv]]</f>
        <v>10.185381329724287</v>
      </c>
      <c r="Q230">
        <f>IF(Table1[[#This Row],[medv]]=0, "Undefined", ABS((N230-O230)/N230))*100</f>
        <v>20.370762659448573</v>
      </c>
      <c r="V230">
        <v>173</v>
      </c>
      <c r="W230">
        <v>22.976572190213176</v>
      </c>
      <c r="X230">
        <v>0.12342780978682555</v>
      </c>
    </row>
    <row r="231" spans="1:24" x14ac:dyDescent="0.3">
      <c r="A231">
        <v>0.38213999999999998</v>
      </c>
      <c r="B231">
        <v>0</v>
      </c>
      <c r="C231">
        <v>6.2</v>
      </c>
      <c r="D231">
        <v>0</v>
      </c>
      <c r="E231">
        <v>0.504</v>
      </c>
      <c r="F231">
        <v>8.0399999999999991</v>
      </c>
      <c r="G231">
        <v>86.5</v>
      </c>
      <c r="H231">
        <v>3.2157</v>
      </c>
      <c r="I231">
        <v>8</v>
      </c>
      <c r="J231">
        <v>307</v>
      </c>
      <c r="K231">
        <v>17.399999999999999</v>
      </c>
      <c r="L231">
        <v>387.38</v>
      </c>
      <c r="M231">
        <v>3.13</v>
      </c>
      <c r="N231">
        <v>37.6</v>
      </c>
      <c r="O231">
        <f t="shared" si="5"/>
        <v>37.586057549658683</v>
      </c>
      <c r="P231">
        <f>Table1[[#This Row],[medv]]-Table1[[#This Row],[pred_medv]]</f>
        <v>1.3942450341318136E-2</v>
      </c>
      <c r="Q231">
        <f>IF(Table1[[#This Row],[medv]]=0, "Undefined", ABS((N231-O231)/N231))*100</f>
        <v>3.7080984950314186E-2</v>
      </c>
      <c r="V231">
        <v>174</v>
      </c>
      <c r="W231">
        <v>29.071943076900858</v>
      </c>
      <c r="X231">
        <v>-5.4719430769008568</v>
      </c>
    </row>
    <row r="232" spans="1:24" x14ac:dyDescent="0.3">
      <c r="A232">
        <v>0.41238000000000002</v>
      </c>
      <c r="B232">
        <v>0</v>
      </c>
      <c r="C232">
        <v>6.2</v>
      </c>
      <c r="D232">
        <v>0</v>
      </c>
      <c r="E232">
        <v>0.504</v>
      </c>
      <c r="F232">
        <v>7.1630000000000003</v>
      </c>
      <c r="G232">
        <v>79.900000000000006</v>
      </c>
      <c r="H232">
        <v>3.2157</v>
      </c>
      <c r="I232">
        <v>8</v>
      </c>
      <c r="J232">
        <v>307</v>
      </c>
      <c r="K232">
        <v>17.399999999999999</v>
      </c>
      <c r="L232">
        <v>372.08</v>
      </c>
      <c r="M232">
        <v>6.36</v>
      </c>
      <c r="N232">
        <v>31.6</v>
      </c>
      <c r="O232">
        <f t="shared" si="5"/>
        <v>32.39953250263747</v>
      </c>
      <c r="P232">
        <f>Table1[[#This Row],[medv]]-Table1[[#This Row],[pred_medv]]</f>
        <v>-0.79953250263746867</v>
      </c>
      <c r="Q232">
        <f>IF(Table1[[#This Row],[medv]]=0, "Undefined", ABS((N232-O232)/N232))*100</f>
        <v>2.5301661475869262</v>
      </c>
      <c r="V232">
        <v>175</v>
      </c>
      <c r="W232">
        <v>26.521943395912416</v>
      </c>
      <c r="X232">
        <v>-3.9219433959124146</v>
      </c>
    </row>
    <row r="233" spans="1:24" x14ac:dyDescent="0.3">
      <c r="A233">
        <v>0.29819000000000001</v>
      </c>
      <c r="B233">
        <v>0</v>
      </c>
      <c r="C233">
        <v>6.2</v>
      </c>
      <c r="D233">
        <v>0</v>
      </c>
      <c r="E233">
        <v>0.504</v>
      </c>
      <c r="F233">
        <v>7.6859999999999999</v>
      </c>
      <c r="G233">
        <v>17</v>
      </c>
      <c r="H233">
        <v>3.3751000000000002</v>
      </c>
      <c r="I233">
        <v>8</v>
      </c>
      <c r="J233">
        <v>307</v>
      </c>
      <c r="K233">
        <v>17.399999999999999</v>
      </c>
      <c r="L233">
        <v>377.51</v>
      </c>
      <c r="M233">
        <v>3.92</v>
      </c>
      <c r="N233">
        <v>46.7</v>
      </c>
      <c r="O233">
        <f t="shared" si="5"/>
        <v>35.456652419827819</v>
      </c>
      <c r="P233">
        <f>Table1[[#This Row],[medv]]-Table1[[#This Row],[pred_medv]]</f>
        <v>11.243347580172184</v>
      </c>
      <c r="Q233">
        <f>IF(Table1[[#This Row],[medv]]=0, "Undefined", ABS((N233-O233)/N233))*100</f>
        <v>24.07569074983337</v>
      </c>
      <c r="V233">
        <v>176</v>
      </c>
      <c r="W233">
        <v>30.722090555483614</v>
      </c>
      <c r="X233">
        <v>-1.3220905554836158</v>
      </c>
    </row>
    <row r="234" spans="1:24" x14ac:dyDescent="0.3">
      <c r="A234">
        <v>0.44178000000000001</v>
      </c>
      <c r="B234">
        <v>0</v>
      </c>
      <c r="C234">
        <v>6.2</v>
      </c>
      <c r="D234">
        <v>0</v>
      </c>
      <c r="E234">
        <v>0.504</v>
      </c>
      <c r="F234">
        <v>6.5519999999999996</v>
      </c>
      <c r="G234">
        <v>21.4</v>
      </c>
      <c r="H234">
        <v>3.3751000000000002</v>
      </c>
      <c r="I234">
        <v>8</v>
      </c>
      <c r="J234">
        <v>307</v>
      </c>
      <c r="K234">
        <v>17.399999999999999</v>
      </c>
      <c r="L234">
        <v>380.34</v>
      </c>
      <c r="M234">
        <v>3.76</v>
      </c>
      <c r="N234">
        <v>31.5</v>
      </c>
      <c r="O234">
        <f t="shared" si="5"/>
        <v>31.234115116973612</v>
      </c>
      <c r="P234">
        <f>Table1[[#This Row],[medv]]-Table1[[#This Row],[pred_medv]]</f>
        <v>0.2658848830263878</v>
      </c>
      <c r="Q234">
        <f>IF(Table1[[#This Row],[medv]]=0, "Undefined", ABS((N234-O234)/N234))*100</f>
        <v>0.84407899373456441</v>
      </c>
      <c r="V234">
        <v>177</v>
      </c>
      <c r="W234">
        <v>25.616693069401382</v>
      </c>
      <c r="X234">
        <v>-2.4166930694013828</v>
      </c>
    </row>
    <row r="235" spans="1:24" x14ac:dyDescent="0.3">
      <c r="A235">
        <v>0.53700000000000003</v>
      </c>
      <c r="B235">
        <v>0</v>
      </c>
      <c r="C235">
        <v>6.2</v>
      </c>
      <c r="D235">
        <v>0</v>
      </c>
      <c r="E235">
        <v>0.504</v>
      </c>
      <c r="F235">
        <v>5.9809999999999999</v>
      </c>
      <c r="G235">
        <v>68.099999999999994</v>
      </c>
      <c r="H235">
        <v>3.6715</v>
      </c>
      <c r="I235">
        <v>8</v>
      </c>
      <c r="J235">
        <v>307</v>
      </c>
      <c r="K235">
        <v>17.399999999999999</v>
      </c>
      <c r="L235">
        <v>378.35</v>
      </c>
      <c r="M235">
        <v>11.65</v>
      </c>
      <c r="N235">
        <v>24.3</v>
      </c>
      <c r="O235">
        <f t="shared" si="5"/>
        <v>24.484492269065854</v>
      </c>
      <c r="P235">
        <f>Table1[[#This Row],[medv]]-Table1[[#This Row],[pred_medv]]</f>
        <v>-0.18449226906585281</v>
      </c>
      <c r="Q235">
        <f>IF(Table1[[#This Row],[medv]]=0, "Undefined", ABS((N235-O235)/N235))*100</f>
        <v>0.75922744471544368</v>
      </c>
      <c r="V235">
        <v>178</v>
      </c>
      <c r="W235">
        <v>29.137409794284142</v>
      </c>
      <c r="X235">
        <v>-4.5374097942841409</v>
      </c>
    </row>
    <row r="236" spans="1:24" x14ac:dyDescent="0.3">
      <c r="A236">
        <v>0.46295999999999998</v>
      </c>
      <c r="B236">
        <v>0</v>
      </c>
      <c r="C236">
        <v>6.2</v>
      </c>
      <c r="D236">
        <v>0</v>
      </c>
      <c r="E236">
        <v>0.504</v>
      </c>
      <c r="F236">
        <v>7.4119999999999999</v>
      </c>
      <c r="G236">
        <v>76.900000000000006</v>
      </c>
      <c r="H236">
        <v>3.6715</v>
      </c>
      <c r="I236">
        <v>8</v>
      </c>
      <c r="J236">
        <v>307</v>
      </c>
      <c r="K236">
        <v>17.399999999999999</v>
      </c>
      <c r="L236">
        <v>376.14</v>
      </c>
      <c r="M236">
        <v>5.25</v>
      </c>
      <c r="N236">
        <v>31.7</v>
      </c>
      <c r="O236">
        <f t="shared" si="5"/>
        <v>33.288372916019149</v>
      </c>
      <c r="P236">
        <f>Table1[[#This Row],[medv]]-Table1[[#This Row],[pred_medv]]</f>
        <v>-1.58837291601915</v>
      </c>
      <c r="Q236">
        <f>IF(Table1[[#This Row],[medv]]=0, "Undefined", ABS((N236-O236)/N236))*100</f>
        <v>5.0106401136250787</v>
      </c>
      <c r="V236">
        <v>179</v>
      </c>
      <c r="W236">
        <v>31.435719677086574</v>
      </c>
      <c r="X236">
        <v>-1.5357196770865755</v>
      </c>
    </row>
    <row r="237" spans="1:24" x14ac:dyDescent="0.3">
      <c r="A237">
        <v>0.57528999999999997</v>
      </c>
      <c r="B237">
        <v>0</v>
      </c>
      <c r="C237">
        <v>6.2</v>
      </c>
      <c r="D237">
        <v>0</v>
      </c>
      <c r="E237">
        <v>0.50700000000000001</v>
      </c>
      <c r="F237">
        <v>8.3369999999999997</v>
      </c>
      <c r="G237">
        <v>73.3</v>
      </c>
      <c r="H237">
        <v>3.8384</v>
      </c>
      <c r="I237">
        <v>8</v>
      </c>
      <c r="J237">
        <v>307</v>
      </c>
      <c r="K237">
        <v>17.399999999999999</v>
      </c>
      <c r="L237">
        <v>385.91</v>
      </c>
      <c r="M237">
        <v>2.4700000000000002</v>
      </c>
      <c r="N237">
        <v>41.7</v>
      </c>
      <c r="O237">
        <f t="shared" si="5"/>
        <v>38.048104803594264</v>
      </c>
      <c r="P237">
        <f>Table1[[#This Row],[medv]]-Table1[[#This Row],[pred_medv]]</f>
        <v>3.6518951964057393</v>
      </c>
      <c r="Q237">
        <f>IF(Table1[[#This Row],[medv]]=0, "Undefined", ABS((N237-O237)/N237))*100</f>
        <v>8.7575424374238349</v>
      </c>
      <c r="V237">
        <v>180</v>
      </c>
      <c r="W237">
        <v>32.922315680024852</v>
      </c>
      <c r="X237">
        <v>4.2776843199751511</v>
      </c>
    </row>
    <row r="238" spans="1:24" x14ac:dyDescent="0.3">
      <c r="A238">
        <v>0.33146999999999999</v>
      </c>
      <c r="B238">
        <v>0</v>
      </c>
      <c r="C238">
        <v>6.2</v>
      </c>
      <c r="D238">
        <v>0</v>
      </c>
      <c r="E238">
        <v>0.50700000000000001</v>
      </c>
      <c r="F238">
        <v>8.2469999999999999</v>
      </c>
      <c r="G238">
        <v>70.400000000000006</v>
      </c>
      <c r="H238">
        <v>3.6518999999999999</v>
      </c>
      <c r="I238">
        <v>8</v>
      </c>
      <c r="J238">
        <v>307</v>
      </c>
      <c r="K238">
        <v>17.399999999999999</v>
      </c>
      <c r="L238">
        <v>378.95</v>
      </c>
      <c r="M238">
        <v>3.95</v>
      </c>
      <c r="N238">
        <v>48.3</v>
      </c>
      <c r="O238">
        <f t="shared" si="5"/>
        <v>37.163286314684917</v>
      </c>
      <c r="P238">
        <f>Table1[[#This Row],[medv]]-Table1[[#This Row],[pred_medv]]</f>
        <v>11.13671368531508</v>
      </c>
      <c r="Q238">
        <f>IF(Table1[[#This Row],[medv]]=0, "Undefined", ABS((N238-O238)/N238))*100</f>
        <v>23.057378230466004</v>
      </c>
      <c r="V238">
        <v>181</v>
      </c>
      <c r="W238">
        <v>34.72440464377344</v>
      </c>
      <c r="X238">
        <v>5.0755953562265574</v>
      </c>
    </row>
    <row r="239" spans="1:24" x14ac:dyDescent="0.3">
      <c r="A239">
        <v>0.44790999999999997</v>
      </c>
      <c r="B239">
        <v>0</v>
      </c>
      <c r="C239">
        <v>6.2</v>
      </c>
      <c r="D239">
        <v>1</v>
      </c>
      <c r="E239">
        <v>0.50700000000000001</v>
      </c>
      <c r="F239">
        <v>6.726</v>
      </c>
      <c r="G239">
        <v>66.5</v>
      </c>
      <c r="H239">
        <v>3.6518999999999999</v>
      </c>
      <c r="I239">
        <v>8</v>
      </c>
      <c r="J239">
        <v>307</v>
      </c>
      <c r="K239">
        <v>17.399999999999999</v>
      </c>
      <c r="L239">
        <v>360.2</v>
      </c>
      <c r="M239">
        <v>8.0500000000000007</v>
      </c>
      <c r="N239">
        <v>29</v>
      </c>
      <c r="O239">
        <f t="shared" si="5"/>
        <v>31.713835225277997</v>
      </c>
      <c r="P239">
        <f>Table1[[#This Row],[medv]]-Table1[[#This Row],[pred_medv]]</f>
        <v>-2.7138352252779967</v>
      </c>
      <c r="Q239">
        <f>IF(Table1[[#This Row],[medv]]=0, "Undefined", ABS((N239-O239)/N239))*100</f>
        <v>9.3580525009586086</v>
      </c>
      <c r="V239">
        <v>182</v>
      </c>
      <c r="W239">
        <v>27.765521106596331</v>
      </c>
      <c r="X239">
        <v>8.4344788934036714</v>
      </c>
    </row>
    <row r="240" spans="1:24" x14ac:dyDescent="0.3">
      <c r="A240">
        <v>0.33045000000000002</v>
      </c>
      <c r="B240">
        <v>0</v>
      </c>
      <c r="C240">
        <v>6.2</v>
      </c>
      <c r="D240">
        <v>0</v>
      </c>
      <c r="E240">
        <v>0.50700000000000001</v>
      </c>
      <c r="F240">
        <v>6.0860000000000003</v>
      </c>
      <c r="G240">
        <v>61.5</v>
      </c>
      <c r="H240">
        <v>3.6518999999999999</v>
      </c>
      <c r="I240">
        <v>8</v>
      </c>
      <c r="J240">
        <v>307</v>
      </c>
      <c r="K240">
        <v>17.399999999999999</v>
      </c>
      <c r="L240">
        <v>376.75</v>
      </c>
      <c r="M240">
        <v>10.88</v>
      </c>
      <c r="N240">
        <v>24</v>
      </c>
      <c r="O240">
        <f t="shared" si="5"/>
        <v>25.267055713315258</v>
      </c>
      <c r="P240">
        <f>Table1[[#This Row],[medv]]-Table1[[#This Row],[pred_medv]]</f>
        <v>-1.2670557133152585</v>
      </c>
      <c r="Q240">
        <f>IF(Table1[[#This Row],[medv]]=0, "Undefined", ABS((N240-O240)/N240))*100</f>
        <v>5.279398805480243</v>
      </c>
      <c r="V240">
        <v>183</v>
      </c>
      <c r="W240">
        <v>33.887873213241313</v>
      </c>
      <c r="X240">
        <v>4.0121267867586852</v>
      </c>
    </row>
    <row r="241" spans="1:24" x14ac:dyDescent="0.3">
      <c r="A241">
        <v>0.52058000000000004</v>
      </c>
      <c r="B241">
        <v>0</v>
      </c>
      <c r="C241">
        <v>6.2</v>
      </c>
      <c r="D241">
        <v>1</v>
      </c>
      <c r="E241">
        <v>0.50700000000000001</v>
      </c>
      <c r="F241">
        <v>6.6310000000000002</v>
      </c>
      <c r="G241">
        <v>76.5</v>
      </c>
      <c r="H241">
        <v>4.1479999999999997</v>
      </c>
      <c r="I241">
        <v>8</v>
      </c>
      <c r="J241">
        <v>307</v>
      </c>
      <c r="K241">
        <v>17.399999999999999</v>
      </c>
      <c r="L241">
        <v>388.45</v>
      </c>
      <c r="M241">
        <v>9.5399999999999991</v>
      </c>
      <c r="N241">
        <v>25.1</v>
      </c>
      <c r="O241">
        <f t="shared" si="5"/>
        <v>30.100107449038283</v>
      </c>
      <c r="P241">
        <f>Table1[[#This Row],[medv]]-Table1[[#This Row],[pred_medv]]</f>
        <v>-5.000107449038282</v>
      </c>
      <c r="Q241">
        <f>IF(Table1[[#This Row],[medv]]=0, "Undefined", ABS((N241-O241)/N241))*100</f>
        <v>19.920746808917457</v>
      </c>
      <c r="V241">
        <v>184</v>
      </c>
      <c r="W241">
        <v>30.992380360148559</v>
      </c>
      <c r="X241">
        <v>1.5076196398514412</v>
      </c>
    </row>
    <row r="242" spans="1:24" x14ac:dyDescent="0.3">
      <c r="A242">
        <v>0.51183000000000001</v>
      </c>
      <c r="B242">
        <v>0</v>
      </c>
      <c r="C242">
        <v>6.2</v>
      </c>
      <c r="D242">
        <v>0</v>
      </c>
      <c r="E242">
        <v>0.50700000000000001</v>
      </c>
      <c r="F242">
        <v>7.3579999999999997</v>
      </c>
      <c r="G242">
        <v>71.599999999999994</v>
      </c>
      <c r="H242">
        <v>4.1479999999999997</v>
      </c>
      <c r="I242">
        <v>8</v>
      </c>
      <c r="J242">
        <v>307</v>
      </c>
      <c r="K242">
        <v>17.399999999999999</v>
      </c>
      <c r="L242">
        <v>390.07</v>
      </c>
      <c r="M242">
        <v>4.7300000000000004</v>
      </c>
      <c r="N242">
        <v>31.5</v>
      </c>
      <c r="O242">
        <f t="shared" si="5"/>
        <v>32.719871558075525</v>
      </c>
      <c r="P242">
        <f>Table1[[#This Row],[medv]]-Table1[[#This Row],[pred_medv]]</f>
        <v>-1.2198715580755248</v>
      </c>
      <c r="Q242">
        <f>IF(Table1[[#This Row],[medv]]=0, "Undefined", ABS((N242-O242)/N242))*100</f>
        <v>3.8726081208746823</v>
      </c>
      <c r="V242">
        <v>185</v>
      </c>
      <c r="W242">
        <v>22.718200080926728</v>
      </c>
      <c r="X242">
        <v>3.6817999190732706</v>
      </c>
    </row>
    <row r="243" spans="1:24" x14ac:dyDescent="0.3">
      <c r="A243">
        <v>8.2439999999999999E-2</v>
      </c>
      <c r="B243">
        <v>30</v>
      </c>
      <c r="C243">
        <v>4.93</v>
      </c>
      <c r="D243">
        <v>0</v>
      </c>
      <c r="E243">
        <v>0.42799999999999999</v>
      </c>
      <c r="F243">
        <v>6.4809999999999999</v>
      </c>
      <c r="G243">
        <v>18.5</v>
      </c>
      <c r="H243">
        <v>6.1898999999999997</v>
      </c>
      <c r="I243">
        <v>6</v>
      </c>
      <c r="J243">
        <v>300</v>
      </c>
      <c r="K243">
        <v>16.600000000000001</v>
      </c>
      <c r="L243">
        <v>379.41</v>
      </c>
      <c r="M243">
        <v>6.36</v>
      </c>
      <c r="N243">
        <v>23.7</v>
      </c>
      <c r="O243">
        <f t="shared" si="5"/>
        <v>28.427170565976319</v>
      </c>
      <c r="P243">
        <f>Table1[[#This Row],[medv]]-Table1[[#This Row],[pred_medv]]</f>
        <v>-4.7271705659763192</v>
      </c>
      <c r="Q243">
        <f>IF(Table1[[#This Row],[medv]]=0, "Undefined", ABS((N243-O243)/N243))*100</f>
        <v>19.94586736698869</v>
      </c>
      <c r="V243">
        <v>186</v>
      </c>
      <c r="W243">
        <v>24.766478098957286</v>
      </c>
      <c r="X243">
        <v>4.8335219010427153</v>
      </c>
    </row>
    <row r="244" spans="1:24" x14ac:dyDescent="0.3">
      <c r="A244">
        <v>9.2520000000000005E-2</v>
      </c>
      <c r="B244">
        <v>30</v>
      </c>
      <c r="C244">
        <v>4.93</v>
      </c>
      <c r="D244">
        <v>0</v>
      </c>
      <c r="E244">
        <v>0.42799999999999999</v>
      </c>
      <c r="F244">
        <v>6.6059999999999999</v>
      </c>
      <c r="G244">
        <v>42.2</v>
      </c>
      <c r="H244">
        <v>6.1898999999999997</v>
      </c>
      <c r="I244">
        <v>6</v>
      </c>
      <c r="J244">
        <v>300</v>
      </c>
      <c r="K244">
        <v>16.600000000000001</v>
      </c>
      <c r="L244">
        <v>383.78</v>
      </c>
      <c r="M244">
        <v>7.37</v>
      </c>
      <c r="N244">
        <v>23.3</v>
      </c>
      <c r="O244">
        <f t="shared" si="5"/>
        <v>28.429406780589073</v>
      </c>
      <c r="P244">
        <f>Table1[[#This Row],[medv]]-Table1[[#This Row],[pred_medv]]</f>
        <v>-5.129406780589072</v>
      </c>
      <c r="Q244">
        <f>IF(Table1[[#This Row],[medv]]=0, "Undefined", ABS((N244-O244)/N244))*100</f>
        <v>22.014621375918765</v>
      </c>
      <c r="V244">
        <v>187</v>
      </c>
      <c r="W244">
        <v>35.884972262077206</v>
      </c>
      <c r="X244">
        <v>14.115027737922794</v>
      </c>
    </row>
    <row r="245" spans="1:24" x14ac:dyDescent="0.3">
      <c r="A245">
        <v>0.11329</v>
      </c>
      <c r="B245">
        <v>30</v>
      </c>
      <c r="C245">
        <v>4.93</v>
      </c>
      <c r="D245">
        <v>0</v>
      </c>
      <c r="E245">
        <v>0.42799999999999999</v>
      </c>
      <c r="F245">
        <v>6.8970000000000002</v>
      </c>
      <c r="G245">
        <v>54.3</v>
      </c>
      <c r="H245">
        <v>6.3361000000000001</v>
      </c>
      <c r="I245">
        <v>6</v>
      </c>
      <c r="J245">
        <v>300</v>
      </c>
      <c r="K245">
        <v>16.600000000000001</v>
      </c>
      <c r="L245">
        <v>391.25</v>
      </c>
      <c r="M245">
        <v>11.38</v>
      </c>
      <c r="N245">
        <v>22</v>
      </c>
      <c r="O245">
        <f t="shared" si="5"/>
        <v>27.293759384044421</v>
      </c>
      <c r="P245">
        <f>Table1[[#This Row],[medv]]-Table1[[#This Row],[pred_medv]]</f>
        <v>-5.2937593840444208</v>
      </c>
      <c r="Q245">
        <f>IF(Table1[[#This Row],[medv]]=0, "Undefined", ABS((N245-O245)/N245))*100</f>
        <v>24.062542654747368</v>
      </c>
      <c r="V245">
        <v>188</v>
      </c>
      <c r="W245">
        <v>33.42476722031558</v>
      </c>
      <c r="X245">
        <v>-1.4247672203155801</v>
      </c>
    </row>
    <row r="246" spans="1:24" x14ac:dyDescent="0.3">
      <c r="A246">
        <v>0.10612000000000001</v>
      </c>
      <c r="B246">
        <v>30</v>
      </c>
      <c r="C246">
        <v>4.93</v>
      </c>
      <c r="D246">
        <v>0</v>
      </c>
      <c r="E246">
        <v>0.42799999999999999</v>
      </c>
      <c r="F246">
        <v>6.0949999999999998</v>
      </c>
      <c r="G246">
        <v>65.099999999999994</v>
      </c>
      <c r="H246">
        <v>6.3361000000000001</v>
      </c>
      <c r="I246">
        <v>6</v>
      </c>
      <c r="J246">
        <v>300</v>
      </c>
      <c r="K246">
        <v>16.600000000000001</v>
      </c>
      <c r="L246">
        <v>394.62</v>
      </c>
      <c r="M246">
        <v>12.4</v>
      </c>
      <c r="N246">
        <v>20.100000000000001</v>
      </c>
      <c r="O246">
        <f t="shared" si="5"/>
        <v>23.74262478295493</v>
      </c>
      <c r="P246">
        <f>Table1[[#This Row],[medv]]-Table1[[#This Row],[pred_medv]]</f>
        <v>-3.642624782954929</v>
      </c>
      <c r="Q246">
        <f>IF(Table1[[#This Row],[medv]]=0, "Undefined", ABS((N246-O246)/N246))*100</f>
        <v>18.12251135798472</v>
      </c>
      <c r="V246">
        <v>189</v>
      </c>
      <c r="W246">
        <v>32.411991465602064</v>
      </c>
      <c r="X246">
        <v>-2.6119914656020633</v>
      </c>
    </row>
    <row r="247" spans="1:24" x14ac:dyDescent="0.3">
      <c r="A247">
        <v>0.10290000000000001</v>
      </c>
      <c r="B247">
        <v>30</v>
      </c>
      <c r="C247">
        <v>4.93</v>
      </c>
      <c r="D247">
        <v>0</v>
      </c>
      <c r="E247">
        <v>0.42799999999999999</v>
      </c>
      <c r="F247">
        <v>6.3579999999999997</v>
      </c>
      <c r="G247">
        <v>52.9</v>
      </c>
      <c r="H247">
        <v>7.0354999999999999</v>
      </c>
      <c r="I247">
        <v>6</v>
      </c>
      <c r="J247">
        <v>300</v>
      </c>
      <c r="K247">
        <v>16.600000000000001</v>
      </c>
      <c r="L247">
        <v>372.75</v>
      </c>
      <c r="M247">
        <v>11.22</v>
      </c>
      <c r="N247">
        <v>22.2</v>
      </c>
      <c r="O247">
        <f t="shared" si="5"/>
        <v>24.120078909164576</v>
      </c>
      <c r="P247">
        <f>Table1[[#This Row],[medv]]-Table1[[#This Row],[pred_medv]]</f>
        <v>-1.9200789091645767</v>
      </c>
      <c r="Q247">
        <f>IF(Table1[[#This Row],[medv]]=0, "Undefined", ABS((N247-O247)/N247))*100</f>
        <v>8.6490040953359308</v>
      </c>
      <c r="V247">
        <v>190</v>
      </c>
      <c r="W247">
        <v>34.51509949342126</v>
      </c>
      <c r="X247">
        <v>0.38490050657873809</v>
      </c>
    </row>
    <row r="248" spans="1:24" x14ac:dyDescent="0.3">
      <c r="A248">
        <v>0.12756999999999999</v>
      </c>
      <c r="B248">
        <v>30</v>
      </c>
      <c r="C248">
        <v>4.93</v>
      </c>
      <c r="D248">
        <v>0</v>
      </c>
      <c r="E248">
        <v>0.42799999999999999</v>
      </c>
      <c r="F248">
        <v>6.3929999999999998</v>
      </c>
      <c r="G248">
        <v>7.8</v>
      </c>
      <c r="H248">
        <v>7.0354999999999999</v>
      </c>
      <c r="I248">
        <v>6</v>
      </c>
      <c r="J248">
        <v>300</v>
      </c>
      <c r="K248">
        <v>16.600000000000001</v>
      </c>
      <c r="L248">
        <v>374.71</v>
      </c>
      <c r="M248">
        <v>5.19</v>
      </c>
      <c r="N248">
        <v>23.7</v>
      </c>
      <c r="O248">
        <f t="shared" si="5"/>
        <v>27.40208413761076</v>
      </c>
      <c r="P248">
        <f>Table1[[#This Row],[medv]]-Table1[[#This Row],[pred_medv]]</f>
        <v>-3.7020841376107612</v>
      </c>
      <c r="Q248">
        <f>IF(Table1[[#This Row],[medv]]=0, "Undefined", ABS((N248-O248)/N248))*100</f>
        <v>15.620608175572832</v>
      </c>
      <c r="V248">
        <v>191</v>
      </c>
      <c r="W248">
        <v>30.761094851746144</v>
      </c>
      <c r="X248">
        <v>6.2389051482538562</v>
      </c>
    </row>
    <row r="249" spans="1:24" x14ac:dyDescent="0.3">
      <c r="A249">
        <v>0.20608000000000001</v>
      </c>
      <c r="B249">
        <v>22</v>
      </c>
      <c r="C249">
        <v>5.86</v>
      </c>
      <c r="D249">
        <v>0</v>
      </c>
      <c r="E249">
        <v>0.43099999999999999</v>
      </c>
      <c r="F249">
        <v>5.593</v>
      </c>
      <c r="G249">
        <v>76.5</v>
      </c>
      <c r="H249">
        <v>7.9549000000000003</v>
      </c>
      <c r="I249">
        <v>7</v>
      </c>
      <c r="J249">
        <v>330</v>
      </c>
      <c r="K249">
        <v>19.100000000000001</v>
      </c>
      <c r="L249">
        <v>372.49</v>
      </c>
      <c r="M249">
        <v>12.5</v>
      </c>
      <c r="N249">
        <v>17.600000000000001</v>
      </c>
      <c r="O249">
        <f t="shared" si="5"/>
        <v>16.328575600536112</v>
      </c>
      <c r="P249">
        <f>Table1[[#This Row],[medv]]-Table1[[#This Row],[pred_medv]]</f>
        <v>1.2714243994638892</v>
      </c>
      <c r="Q249">
        <f>IF(Table1[[#This Row],[medv]]=0, "Undefined", ABS((N249-O249)/N249))*100</f>
        <v>7.2240022696811872</v>
      </c>
      <c r="V249">
        <v>192</v>
      </c>
      <c r="W249">
        <v>30.289341406750822</v>
      </c>
      <c r="X249">
        <v>0.21065859324917824</v>
      </c>
    </row>
    <row r="250" spans="1:24" x14ac:dyDescent="0.3">
      <c r="A250">
        <v>0.19133</v>
      </c>
      <c r="B250">
        <v>22</v>
      </c>
      <c r="C250">
        <v>5.86</v>
      </c>
      <c r="D250">
        <v>0</v>
      </c>
      <c r="E250">
        <v>0.43099999999999999</v>
      </c>
      <c r="F250">
        <v>5.6050000000000004</v>
      </c>
      <c r="G250">
        <v>70.2</v>
      </c>
      <c r="H250">
        <v>7.9549000000000003</v>
      </c>
      <c r="I250">
        <v>7</v>
      </c>
      <c r="J250">
        <v>330</v>
      </c>
      <c r="K250">
        <v>19.100000000000001</v>
      </c>
      <c r="L250">
        <v>389.13</v>
      </c>
      <c r="M250">
        <v>18.46</v>
      </c>
      <c r="N250">
        <v>18.5</v>
      </c>
      <c r="O250">
        <f t="shared" si="5"/>
        <v>13.398912612968964</v>
      </c>
      <c r="P250">
        <f>Table1[[#This Row],[medv]]-Table1[[#This Row],[pred_medv]]</f>
        <v>5.1010873870310363</v>
      </c>
      <c r="Q250">
        <f>IF(Table1[[#This Row],[medv]]=0, "Undefined", ABS((N250-O250)/N250))*100</f>
        <v>27.5734453353029</v>
      </c>
      <c r="V250">
        <v>193</v>
      </c>
      <c r="W250">
        <v>32.919187143206194</v>
      </c>
      <c r="X250">
        <v>3.4808128567938041</v>
      </c>
    </row>
    <row r="251" spans="1:24" x14ac:dyDescent="0.3">
      <c r="A251">
        <v>0.33983000000000002</v>
      </c>
      <c r="B251">
        <v>22</v>
      </c>
      <c r="C251">
        <v>5.86</v>
      </c>
      <c r="D251">
        <v>0</v>
      </c>
      <c r="E251">
        <v>0.43099999999999999</v>
      </c>
      <c r="F251">
        <v>6.1079999999999997</v>
      </c>
      <c r="G251">
        <v>34.9</v>
      </c>
      <c r="H251">
        <v>8.0555000000000003</v>
      </c>
      <c r="I251">
        <v>7</v>
      </c>
      <c r="J251">
        <v>330</v>
      </c>
      <c r="K251">
        <v>19.100000000000001</v>
      </c>
      <c r="L251">
        <v>390.18</v>
      </c>
      <c r="M251">
        <v>9.16</v>
      </c>
      <c r="N251">
        <v>24.3</v>
      </c>
      <c r="O251">
        <f t="shared" si="5"/>
        <v>20.016387752377216</v>
      </c>
      <c r="P251">
        <f>Table1[[#This Row],[medv]]-Table1[[#This Row],[pred_medv]]</f>
        <v>4.2836122476227843</v>
      </c>
      <c r="Q251">
        <f>IF(Table1[[#This Row],[medv]]=0, "Undefined", ABS((N251-O251)/N251))*100</f>
        <v>17.628033940834502</v>
      </c>
      <c r="V251">
        <v>194</v>
      </c>
      <c r="W251">
        <v>32.112607714019219</v>
      </c>
      <c r="X251">
        <v>-1.012607714019218</v>
      </c>
    </row>
    <row r="252" spans="1:24" x14ac:dyDescent="0.3">
      <c r="A252">
        <v>0.19656999999999999</v>
      </c>
      <c r="B252">
        <v>22</v>
      </c>
      <c r="C252">
        <v>5.86</v>
      </c>
      <c r="D252">
        <v>0</v>
      </c>
      <c r="E252">
        <v>0.43099999999999999</v>
      </c>
      <c r="F252">
        <v>6.226</v>
      </c>
      <c r="G252">
        <v>79.2</v>
      </c>
      <c r="H252">
        <v>8.0555000000000003</v>
      </c>
      <c r="I252">
        <v>7</v>
      </c>
      <c r="J252">
        <v>330</v>
      </c>
      <c r="K252">
        <v>19.100000000000001</v>
      </c>
      <c r="L252">
        <v>376.14</v>
      </c>
      <c r="M252">
        <v>10.15</v>
      </c>
      <c r="N252">
        <v>20.5</v>
      </c>
      <c r="O252">
        <f t="shared" si="5"/>
        <v>19.861844278230663</v>
      </c>
      <c r="P252">
        <f>Table1[[#This Row],[medv]]-Table1[[#This Row],[pred_medv]]</f>
        <v>0.63815572176933699</v>
      </c>
      <c r="Q252">
        <f>IF(Table1[[#This Row],[medv]]=0, "Undefined", ABS((N252-O252)/N252))*100</f>
        <v>3.1129547403382292</v>
      </c>
      <c r="V252">
        <v>195</v>
      </c>
      <c r="W252">
        <v>31.558710043172226</v>
      </c>
      <c r="X252">
        <v>-2.4587100431722249</v>
      </c>
    </row>
    <row r="253" spans="1:24" x14ac:dyDescent="0.3">
      <c r="A253">
        <v>0.16439000000000001</v>
      </c>
      <c r="B253">
        <v>22</v>
      </c>
      <c r="C253">
        <v>5.86</v>
      </c>
      <c r="D253">
        <v>0</v>
      </c>
      <c r="E253">
        <v>0.43099999999999999</v>
      </c>
      <c r="F253">
        <v>6.4329999999999998</v>
      </c>
      <c r="G253">
        <v>49.1</v>
      </c>
      <c r="H253">
        <v>7.8265000000000002</v>
      </c>
      <c r="I253">
        <v>7</v>
      </c>
      <c r="J253">
        <v>330</v>
      </c>
      <c r="K253">
        <v>19.100000000000001</v>
      </c>
      <c r="L253">
        <v>374.71</v>
      </c>
      <c r="M253">
        <v>9.52</v>
      </c>
      <c r="N253">
        <v>24.5</v>
      </c>
      <c r="O253">
        <f t="shared" si="5"/>
        <v>21.28831309847088</v>
      </c>
      <c r="P253">
        <f>Table1[[#This Row],[medv]]-Table1[[#This Row],[pred_medv]]</f>
        <v>3.2116869015291201</v>
      </c>
      <c r="Q253">
        <f>IF(Table1[[#This Row],[medv]]=0, "Undefined", ABS((N253-O253)/N253))*100</f>
        <v>13.108926128690285</v>
      </c>
      <c r="V253">
        <v>196</v>
      </c>
      <c r="W253">
        <v>40.845557214226226</v>
      </c>
      <c r="X253">
        <v>9.1544427857737745</v>
      </c>
    </row>
    <row r="254" spans="1:24" x14ac:dyDescent="0.3">
      <c r="A254">
        <v>0.19073000000000001</v>
      </c>
      <c r="B254">
        <v>22</v>
      </c>
      <c r="C254">
        <v>5.86</v>
      </c>
      <c r="D254">
        <v>0</v>
      </c>
      <c r="E254">
        <v>0.43099999999999999</v>
      </c>
      <c r="F254">
        <v>6.718</v>
      </c>
      <c r="G254">
        <v>17.5</v>
      </c>
      <c r="H254">
        <v>7.8265000000000002</v>
      </c>
      <c r="I254">
        <v>7</v>
      </c>
      <c r="J254">
        <v>330</v>
      </c>
      <c r="K254">
        <v>19.100000000000001</v>
      </c>
      <c r="L254">
        <v>393.74</v>
      </c>
      <c r="M254">
        <v>6.56</v>
      </c>
      <c r="N254">
        <v>26.2</v>
      </c>
      <c r="O254">
        <f t="shared" si="5"/>
        <v>24.079891495763746</v>
      </c>
      <c r="P254">
        <f>Table1[[#This Row],[medv]]-Table1[[#This Row],[pred_medv]]</f>
        <v>2.1201085042362529</v>
      </c>
      <c r="Q254">
        <f>IF(Table1[[#This Row],[medv]]=0, "Undefined", ABS((N254-O254)/N254))*100</f>
        <v>8.092017191741423</v>
      </c>
      <c r="V254">
        <v>197</v>
      </c>
      <c r="W254">
        <v>36.127700792108428</v>
      </c>
      <c r="X254">
        <v>-2.8277007921084305</v>
      </c>
    </row>
    <row r="255" spans="1:24" x14ac:dyDescent="0.3">
      <c r="A255">
        <v>0.14030000000000001</v>
      </c>
      <c r="B255">
        <v>22</v>
      </c>
      <c r="C255">
        <v>5.86</v>
      </c>
      <c r="D255">
        <v>0</v>
      </c>
      <c r="E255">
        <v>0.43099999999999999</v>
      </c>
      <c r="F255">
        <v>6.4870000000000001</v>
      </c>
      <c r="G255">
        <v>13</v>
      </c>
      <c r="H255">
        <v>7.3967000000000001</v>
      </c>
      <c r="I255">
        <v>7</v>
      </c>
      <c r="J255">
        <v>330</v>
      </c>
      <c r="K255">
        <v>19.100000000000001</v>
      </c>
      <c r="L255">
        <v>396.28</v>
      </c>
      <c r="M255">
        <v>5.9</v>
      </c>
      <c r="N255">
        <v>24.4</v>
      </c>
      <c r="O255">
        <f t="shared" si="5"/>
        <v>24.206335470024023</v>
      </c>
      <c r="P255">
        <f>Table1[[#This Row],[medv]]-Table1[[#This Row],[pred_medv]]</f>
        <v>0.19366452997597605</v>
      </c>
      <c r="Q255">
        <f>IF(Table1[[#This Row],[medv]]=0, "Undefined", ABS((N255-O255)/N255))*100</f>
        <v>0.79370709006547568</v>
      </c>
      <c r="V255">
        <v>198</v>
      </c>
      <c r="W255">
        <v>32.669208099773556</v>
      </c>
      <c r="X255">
        <v>-2.3692080997735552</v>
      </c>
    </row>
    <row r="256" spans="1:24" x14ac:dyDescent="0.3">
      <c r="A256">
        <v>0.21409</v>
      </c>
      <c r="B256">
        <v>22</v>
      </c>
      <c r="C256">
        <v>5.86</v>
      </c>
      <c r="D256">
        <v>0</v>
      </c>
      <c r="E256">
        <v>0.43099999999999999</v>
      </c>
      <c r="F256">
        <v>6.4379999999999997</v>
      </c>
      <c r="G256">
        <v>8.9</v>
      </c>
      <c r="H256">
        <v>7.3967000000000001</v>
      </c>
      <c r="I256">
        <v>7</v>
      </c>
      <c r="J256">
        <v>330</v>
      </c>
      <c r="K256">
        <v>19.100000000000001</v>
      </c>
      <c r="L256">
        <v>377.07</v>
      </c>
      <c r="M256">
        <v>3.59</v>
      </c>
      <c r="N256">
        <v>24.8</v>
      </c>
      <c r="O256">
        <f t="shared" si="5"/>
        <v>25.042158212926779</v>
      </c>
      <c r="P256">
        <f>Table1[[#This Row],[medv]]-Table1[[#This Row],[pred_medv]]</f>
        <v>-0.2421582129267783</v>
      </c>
      <c r="Q256">
        <f>IF(Table1[[#This Row],[medv]]=0, "Undefined", ABS((N256-O256)/N256))*100</f>
        <v>0.97644440696281576</v>
      </c>
      <c r="V256">
        <v>199</v>
      </c>
      <c r="W256">
        <v>34.70469116436913</v>
      </c>
      <c r="X256">
        <v>-0.10469116436912884</v>
      </c>
    </row>
    <row r="257" spans="1:24" x14ac:dyDescent="0.3">
      <c r="A257">
        <v>8.2210000000000005E-2</v>
      </c>
      <c r="B257">
        <v>22</v>
      </c>
      <c r="C257">
        <v>5.86</v>
      </c>
      <c r="D257">
        <v>0</v>
      </c>
      <c r="E257">
        <v>0.43099999999999999</v>
      </c>
      <c r="F257">
        <v>6.9569999999999999</v>
      </c>
      <c r="G257">
        <v>6.8</v>
      </c>
      <c r="H257">
        <v>8.9067000000000007</v>
      </c>
      <c r="I257">
        <v>7</v>
      </c>
      <c r="J257">
        <v>330</v>
      </c>
      <c r="K257">
        <v>19.100000000000001</v>
      </c>
      <c r="L257">
        <v>386.09</v>
      </c>
      <c r="M257">
        <v>3.53</v>
      </c>
      <c r="N257">
        <v>29.6</v>
      </c>
      <c r="O257">
        <f t="shared" si="5"/>
        <v>24.919640070332129</v>
      </c>
      <c r="P257">
        <f>Table1[[#This Row],[medv]]-Table1[[#This Row],[pred_medv]]</f>
        <v>4.6803599296678726</v>
      </c>
      <c r="Q257">
        <f>IF(Table1[[#This Row],[medv]]=0, "Undefined", ABS((N257-O257)/N257))*100</f>
        <v>15.812026789418487</v>
      </c>
      <c r="V257">
        <v>200</v>
      </c>
      <c r="W257">
        <v>30.093451618117403</v>
      </c>
      <c r="X257">
        <v>4.806548381882596</v>
      </c>
    </row>
    <row r="258" spans="1:24" x14ac:dyDescent="0.3">
      <c r="A258">
        <v>0.36893999999999999</v>
      </c>
      <c r="B258">
        <v>22</v>
      </c>
      <c r="C258">
        <v>5.86</v>
      </c>
      <c r="D258">
        <v>0</v>
      </c>
      <c r="E258">
        <v>0.43099999999999999</v>
      </c>
      <c r="F258">
        <v>8.2590000000000003</v>
      </c>
      <c r="G258">
        <v>8.4</v>
      </c>
      <c r="H258">
        <v>8.9067000000000007</v>
      </c>
      <c r="I258">
        <v>7</v>
      </c>
      <c r="J258">
        <v>330</v>
      </c>
      <c r="K258">
        <v>19.100000000000001</v>
      </c>
      <c r="L258">
        <v>396.9</v>
      </c>
      <c r="M258">
        <v>3.54</v>
      </c>
      <c r="N258">
        <v>42.8</v>
      </c>
      <c r="O258">
        <f t="shared" si="5"/>
        <v>29.945633744800887</v>
      </c>
      <c r="P258">
        <f>Table1[[#This Row],[medv]]-Table1[[#This Row],[pred_medv]]</f>
        <v>12.85436625519911</v>
      </c>
      <c r="Q258">
        <f>IF(Table1[[#This Row],[medv]]=0, "Undefined", ABS((N258-O258)/N258))*100</f>
        <v>30.033566016820352</v>
      </c>
      <c r="V258">
        <v>201</v>
      </c>
      <c r="W258">
        <v>30.643939064854223</v>
      </c>
      <c r="X258">
        <v>2.2560609351457757</v>
      </c>
    </row>
    <row r="259" spans="1:24" x14ac:dyDescent="0.3">
      <c r="A259">
        <v>4.8189999999999997E-2</v>
      </c>
      <c r="B259">
        <v>80</v>
      </c>
      <c r="C259">
        <v>3.64</v>
      </c>
      <c r="D259">
        <v>0</v>
      </c>
      <c r="E259">
        <v>0.39200000000000002</v>
      </c>
      <c r="F259">
        <v>6.1079999999999997</v>
      </c>
      <c r="G259">
        <v>32</v>
      </c>
      <c r="H259">
        <v>9.2202999999999999</v>
      </c>
      <c r="I259">
        <v>1</v>
      </c>
      <c r="J259">
        <v>315</v>
      </c>
      <c r="K259">
        <v>16.399999999999999</v>
      </c>
      <c r="L259">
        <v>392.89</v>
      </c>
      <c r="M259">
        <v>6.57</v>
      </c>
      <c r="N259">
        <v>21.9</v>
      </c>
      <c r="O259">
        <f t="shared" si="5"/>
        <v>23.972283164977434</v>
      </c>
      <c r="P259">
        <f>Table1[[#This Row],[medv]]-Table1[[#This Row],[pred_medv]]</f>
        <v>-2.0722831649774349</v>
      </c>
      <c r="Q259">
        <f>IF(Table1[[#This Row],[medv]]=0, "Undefined", ABS((N259-O259)/N259))*100</f>
        <v>9.4624802053764157</v>
      </c>
      <c r="V259">
        <v>202</v>
      </c>
      <c r="W259">
        <v>29.287195013655577</v>
      </c>
      <c r="X259">
        <v>-5.1871950136555753</v>
      </c>
    </row>
    <row r="260" spans="1:24" x14ac:dyDescent="0.3">
      <c r="A260">
        <v>3.5479999999999998E-2</v>
      </c>
      <c r="B260">
        <v>80</v>
      </c>
      <c r="C260">
        <v>3.64</v>
      </c>
      <c r="D260">
        <v>0</v>
      </c>
      <c r="E260">
        <v>0.39200000000000002</v>
      </c>
      <c r="F260">
        <v>5.8760000000000003</v>
      </c>
      <c r="G260">
        <v>19.100000000000001</v>
      </c>
      <c r="H260">
        <v>9.2202999999999999</v>
      </c>
      <c r="I260">
        <v>1</v>
      </c>
      <c r="J260">
        <v>315</v>
      </c>
      <c r="K260">
        <v>16.399999999999999</v>
      </c>
      <c r="L260">
        <v>395.18</v>
      </c>
      <c r="M260">
        <v>9.25</v>
      </c>
      <c r="N260">
        <v>20.9</v>
      </c>
      <c r="O260">
        <f t="shared" si="5"/>
        <v>21.695808865539643</v>
      </c>
      <c r="P260">
        <f>Table1[[#This Row],[medv]]-Table1[[#This Row],[pred_medv]]</f>
        <v>-0.79580886553964447</v>
      </c>
      <c r="Q260">
        <f>IF(Table1[[#This Row],[medv]]=0, "Undefined", ABS((N260-O260)/N260))*100</f>
        <v>3.8076979212423181</v>
      </c>
      <c r="V260">
        <v>203</v>
      </c>
      <c r="W260">
        <v>37.071483920203391</v>
      </c>
      <c r="X260">
        <v>5.2285160797966057</v>
      </c>
    </row>
    <row r="261" spans="1:24" x14ac:dyDescent="0.3">
      <c r="A261">
        <v>1.538E-2</v>
      </c>
      <c r="B261">
        <v>90</v>
      </c>
      <c r="C261">
        <v>3.75</v>
      </c>
      <c r="D261">
        <v>0</v>
      </c>
      <c r="E261">
        <v>0.39400000000000002</v>
      </c>
      <c r="F261">
        <v>7.4539999999999997</v>
      </c>
      <c r="G261">
        <v>34.200000000000003</v>
      </c>
      <c r="H261">
        <v>6.3361000000000001</v>
      </c>
      <c r="I261">
        <v>3</v>
      </c>
      <c r="J261">
        <v>244</v>
      </c>
      <c r="K261">
        <v>15.9</v>
      </c>
      <c r="L261">
        <v>386.34</v>
      </c>
      <c r="M261">
        <v>3.11</v>
      </c>
      <c r="N261">
        <v>44</v>
      </c>
      <c r="O261">
        <f t="shared" ref="O261:O324" si="6">A$2+SUMPRODUCT(B$2:N$2, A261:M261)</f>
        <v>37.511092390232285</v>
      </c>
      <c r="P261">
        <f>Table1[[#This Row],[medv]]-Table1[[#This Row],[pred_medv]]</f>
        <v>6.4889076097677147</v>
      </c>
      <c r="Q261">
        <f>IF(Table1[[#This Row],[medv]]=0, "Undefined", ABS((N261-O261)/N261))*100</f>
        <v>14.747517294926624</v>
      </c>
      <c r="V261">
        <v>204</v>
      </c>
      <c r="W261">
        <v>42.031931238383947</v>
      </c>
      <c r="X261">
        <v>6.4680687616160526</v>
      </c>
    </row>
    <row r="262" spans="1:24" x14ac:dyDescent="0.3">
      <c r="A262">
        <v>0.61153999999999997</v>
      </c>
      <c r="B262">
        <v>20</v>
      </c>
      <c r="C262">
        <v>3.97</v>
      </c>
      <c r="D262">
        <v>0</v>
      </c>
      <c r="E262">
        <v>0.64700000000000002</v>
      </c>
      <c r="F262">
        <v>8.7040000000000006</v>
      </c>
      <c r="G262">
        <v>86.9</v>
      </c>
      <c r="H262">
        <v>1.8009999999999999</v>
      </c>
      <c r="I262">
        <v>5</v>
      </c>
      <c r="J262">
        <v>264</v>
      </c>
      <c r="K262">
        <v>13</v>
      </c>
      <c r="L262">
        <v>389.7</v>
      </c>
      <c r="M262">
        <v>5.12</v>
      </c>
      <c r="N262">
        <v>50</v>
      </c>
      <c r="O262">
        <f t="shared" si="6"/>
        <v>43.302390426943226</v>
      </c>
      <c r="P262">
        <f>Table1[[#This Row],[medv]]-Table1[[#This Row],[pred_medv]]</f>
        <v>6.6976095730567735</v>
      </c>
      <c r="Q262">
        <f>IF(Table1[[#This Row],[medv]]=0, "Undefined", ABS((N262-O262)/N262))*100</f>
        <v>13.395219146113547</v>
      </c>
      <c r="V262">
        <v>205</v>
      </c>
      <c r="W262">
        <v>43.189498436970155</v>
      </c>
      <c r="X262">
        <v>6.8105015630298453</v>
      </c>
    </row>
    <row r="263" spans="1:24" x14ac:dyDescent="0.3">
      <c r="A263">
        <v>0.66351000000000004</v>
      </c>
      <c r="B263">
        <v>20</v>
      </c>
      <c r="C263">
        <v>3.97</v>
      </c>
      <c r="D263">
        <v>0</v>
      </c>
      <c r="E263">
        <v>0.64700000000000002</v>
      </c>
      <c r="F263">
        <v>7.3330000000000002</v>
      </c>
      <c r="G263">
        <v>100</v>
      </c>
      <c r="H263">
        <v>1.8946000000000001</v>
      </c>
      <c r="I263">
        <v>5</v>
      </c>
      <c r="J263">
        <v>264</v>
      </c>
      <c r="K263">
        <v>13</v>
      </c>
      <c r="L263">
        <v>383.29</v>
      </c>
      <c r="M263">
        <v>7.79</v>
      </c>
      <c r="N263">
        <v>36</v>
      </c>
      <c r="O263">
        <f t="shared" si="6"/>
        <v>36.483614205522173</v>
      </c>
      <c r="P263">
        <f>Table1[[#This Row],[medv]]-Table1[[#This Row],[pred_medv]]</f>
        <v>-0.48361420552217282</v>
      </c>
      <c r="Q263">
        <f>IF(Table1[[#This Row],[medv]]=0, "Undefined", ABS((N263-O263)/N263))*100</f>
        <v>1.3433727931171469</v>
      </c>
      <c r="V263">
        <v>206</v>
      </c>
      <c r="W263">
        <v>22.690347963777491</v>
      </c>
      <c r="X263">
        <v>-9.0347963777489326E-2</v>
      </c>
    </row>
    <row r="264" spans="1:24" x14ac:dyDescent="0.3">
      <c r="A264">
        <v>0.65664999999999996</v>
      </c>
      <c r="B264">
        <v>20</v>
      </c>
      <c r="C264">
        <v>3.97</v>
      </c>
      <c r="D264">
        <v>0</v>
      </c>
      <c r="E264">
        <v>0.64700000000000002</v>
      </c>
      <c r="F264">
        <v>6.8419999999999996</v>
      </c>
      <c r="G264">
        <v>100</v>
      </c>
      <c r="H264">
        <v>2.0106999999999999</v>
      </c>
      <c r="I264">
        <v>5</v>
      </c>
      <c r="J264">
        <v>264</v>
      </c>
      <c r="K264">
        <v>13</v>
      </c>
      <c r="L264">
        <v>391.93</v>
      </c>
      <c r="M264">
        <v>6.9</v>
      </c>
      <c r="N264">
        <v>30.1</v>
      </c>
      <c r="O264">
        <f t="shared" si="6"/>
        <v>34.989885935896382</v>
      </c>
      <c r="P264">
        <f>Table1[[#This Row],[medv]]-Table1[[#This Row],[pred_medv]]</f>
        <v>-4.8898859358963804</v>
      </c>
      <c r="Q264">
        <f>IF(Table1[[#This Row],[medv]]=0, "Undefined", ABS((N264-O264)/N264))*100</f>
        <v>16.245468225569372</v>
      </c>
      <c r="V264">
        <v>207</v>
      </c>
      <c r="W264">
        <v>23.682847115427808</v>
      </c>
      <c r="X264">
        <v>0.71715288457219017</v>
      </c>
    </row>
    <row r="265" spans="1:24" x14ac:dyDescent="0.3">
      <c r="A265">
        <v>0.54010999999999998</v>
      </c>
      <c r="B265">
        <v>20</v>
      </c>
      <c r="C265">
        <v>3.97</v>
      </c>
      <c r="D265">
        <v>0</v>
      </c>
      <c r="E265">
        <v>0.64700000000000002</v>
      </c>
      <c r="F265">
        <v>7.2030000000000003</v>
      </c>
      <c r="G265">
        <v>81.8</v>
      </c>
      <c r="H265">
        <v>2.1120999999999999</v>
      </c>
      <c r="I265">
        <v>5</v>
      </c>
      <c r="J265">
        <v>264</v>
      </c>
      <c r="K265">
        <v>13</v>
      </c>
      <c r="L265">
        <v>392.8</v>
      </c>
      <c r="M265">
        <v>9.59</v>
      </c>
      <c r="N265">
        <v>33.799999999999997</v>
      </c>
      <c r="O265">
        <f t="shared" si="6"/>
        <v>34.812115080615612</v>
      </c>
      <c r="P265">
        <f>Table1[[#This Row],[medv]]-Table1[[#This Row],[pred_medv]]</f>
        <v>-1.0121150806156152</v>
      </c>
      <c r="Q265">
        <f>IF(Table1[[#This Row],[medv]]=0, "Undefined", ABS((N265-O265)/N265))*100</f>
        <v>2.9944233154308142</v>
      </c>
      <c r="V265">
        <v>208</v>
      </c>
      <c r="W265">
        <v>17.854472136580753</v>
      </c>
      <c r="X265">
        <v>4.6455278634192467</v>
      </c>
    </row>
    <row r="266" spans="1:24" x14ac:dyDescent="0.3">
      <c r="A266">
        <v>0.53412000000000004</v>
      </c>
      <c r="B266">
        <v>20</v>
      </c>
      <c r="C266">
        <v>3.97</v>
      </c>
      <c r="D266">
        <v>0</v>
      </c>
      <c r="E266">
        <v>0.64700000000000002</v>
      </c>
      <c r="F266">
        <v>7.52</v>
      </c>
      <c r="G266">
        <v>89.4</v>
      </c>
      <c r="H266">
        <v>2.1398000000000001</v>
      </c>
      <c r="I266">
        <v>5</v>
      </c>
      <c r="J266">
        <v>264</v>
      </c>
      <c r="K266">
        <v>13</v>
      </c>
      <c r="L266">
        <v>388.37</v>
      </c>
      <c r="M266">
        <v>7.26</v>
      </c>
      <c r="N266">
        <v>43.1</v>
      </c>
      <c r="O266">
        <f t="shared" si="6"/>
        <v>37.166313308351441</v>
      </c>
      <c r="P266">
        <f>Table1[[#This Row],[medv]]-Table1[[#This Row],[pred_medv]]</f>
        <v>5.9336866916485604</v>
      </c>
      <c r="Q266">
        <f>IF(Table1[[#This Row],[medv]]=0, "Undefined", ABS((N266-O266)/N266))*100</f>
        <v>13.767254504985058</v>
      </c>
      <c r="V266">
        <v>209</v>
      </c>
      <c r="W266">
        <v>23.494289920196493</v>
      </c>
      <c r="X266">
        <v>0.90571007980350515</v>
      </c>
    </row>
    <row r="267" spans="1:24" x14ac:dyDescent="0.3">
      <c r="A267">
        <v>0.52014000000000005</v>
      </c>
      <c r="B267">
        <v>20</v>
      </c>
      <c r="C267">
        <v>3.97</v>
      </c>
      <c r="D267">
        <v>0</v>
      </c>
      <c r="E267">
        <v>0.64700000000000002</v>
      </c>
      <c r="F267">
        <v>8.3979999999999997</v>
      </c>
      <c r="G267">
        <v>91.5</v>
      </c>
      <c r="H267">
        <v>2.2885</v>
      </c>
      <c r="I267">
        <v>5</v>
      </c>
      <c r="J267">
        <v>264</v>
      </c>
      <c r="K267">
        <v>13</v>
      </c>
      <c r="L267">
        <v>386.86</v>
      </c>
      <c r="M267">
        <v>5.91</v>
      </c>
      <c r="N267">
        <v>48.8</v>
      </c>
      <c r="O267">
        <f t="shared" si="6"/>
        <v>40.989285008877943</v>
      </c>
      <c r="P267">
        <f>Table1[[#This Row],[medv]]-Table1[[#This Row],[pred_medv]]</f>
        <v>7.8107149911220546</v>
      </c>
      <c r="Q267">
        <f>IF(Table1[[#This Row],[medv]]=0, "Undefined", ABS((N267-O267)/N267))*100</f>
        <v>16.005563506397653</v>
      </c>
      <c r="V267">
        <v>210</v>
      </c>
      <c r="W267">
        <v>17.005877178801708</v>
      </c>
      <c r="X267">
        <v>2.9941228211982924</v>
      </c>
    </row>
    <row r="268" spans="1:24" x14ac:dyDescent="0.3">
      <c r="A268">
        <v>0.82525999999999999</v>
      </c>
      <c r="B268">
        <v>20</v>
      </c>
      <c r="C268">
        <v>3.97</v>
      </c>
      <c r="D268">
        <v>0</v>
      </c>
      <c r="E268">
        <v>0.64700000000000002</v>
      </c>
      <c r="F268">
        <v>7.327</v>
      </c>
      <c r="G268">
        <v>94.5</v>
      </c>
      <c r="H268">
        <v>2.0788000000000002</v>
      </c>
      <c r="I268">
        <v>5</v>
      </c>
      <c r="J268">
        <v>264</v>
      </c>
      <c r="K268">
        <v>13</v>
      </c>
      <c r="L268">
        <v>393.42</v>
      </c>
      <c r="M268">
        <v>11.25</v>
      </c>
      <c r="N268">
        <v>31</v>
      </c>
      <c r="O268">
        <f t="shared" si="6"/>
        <v>34.446340892853293</v>
      </c>
      <c r="P268">
        <f>Table1[[#This Row],[medv]]-Table1[[#This Row],[pred_medv]]</f>
        <v>-3.4463408928532928</v>
      </c>
      <c r="Q268">
        <f>IF(Table1[[#This Row],[medv]]=0, "Undefined", ABS((N268-O268)/N268))*100</f>
        <v>11.117228686623525</v>
      </c>
      <c r="V268">
        <v>211</v>
      </c>
      <c r="W268">
        <v>22.392510963566167</v>
      </c>
      <c r="X268">
        <v>-0.6925109635661677</v>
      </c>
    </row>
    <row r="269" spans="1:24" x14ac:dyDescent="0.3">
      <c r="A269">
        <v>0.55006999999999995</v>
      </c>
      <c r="B269">
        <v>20</v>
      </c>
      <c r="C269">
        <v>3.97</v>
      </c>
      <c r="D269">
        <v>0</v>
      </c>
      <c r="E269">
        <v>0.64700000000000002</v>
      </c>
      <c r="F269">
        <v>7.2060000000000004</v>
      </c>
      <c r="G269">
        <v>91.6</v>
      </c>
      <c r="H269">
        <v>1.9300999999999999</v>
      </c>
      <c r="I269">
        <v>5</v>
      </c>
      <c r="J269">
        <v>264</v>
      </c>
      <c r="K269">
        <v>13</v>
      </c>
      <c r="L269">
        <v>387.89</v>
      </c>
      <c r="M269">
        <v>8.1</v>
      </c>
      <c r="N269">
        <v>36.5</v>
      </c>
      <c r="O269">
        <f t="shared" si="6"/>
        <v>35.833975468616963</v>
      </c>
      <c r="P269">
        <f>Table1[[#This Row],[medv]]-Table1[[#This Row],[pred_medv]]</f>
        <v>0.6660245313830373</v>
      </c>
      <c r="Q269">
        <f>IF(Table1[[#This Row],[medv]]=0, "Undefined", ABS((N269-O269)/N269))*100</f>
        <v>1.8247247435151708</v>
      </c>
      <c r="V269">
        <v>212</v>
      </c>
      <c r="W269">
        <v>17.060427538035665</v>
      </c>
      <c r="X269">
        <v>2.239572461964336</v>
      </c>
    </row>
    <row r="270" spans="1:24" x14ac:dyDescent="0.3">
      <c r="A270">
        <v>0.76161999999999996</v>
      </c>
      <c r="B270">
        <v>20</v>
      </c>
      <c r="C270">
        <v>3.97</v>
      </c>
      <c r="D270">
        <v>0</v>
      </c>
      <c r="E270">
        <v>0.64700000000000002</v>
      </c>
      <c r="F270">
        <v>5.56</v>
      </c>
      <c r="G270">
        <v>62.8</v>
      </c>
      <c r="H270">
        <v>1.9864999999999999</v>
      </c>
      <c r="I270">
        <v>5</v>
      </c>
      <c r="J270">
        <v>264</v>
      </c>
      <c r="K270">
        <v>13</v>
      </c>
      <c r="L270">
        <v>392.4</v>
      </c>
      <c r="M270">
        <v>10.45</v>
      </c>
      <c r="N270">
        <v>22.8</v>
      </c>
      <c r="O270">
        <f t="shared" si="6"/>
        <v>28.245742999329245</v>
      </c>
      <c r="P270">
        <f>Table1[[#This Row],[medv]]-Table1[[#This Row],[pred_medv]]</f>
        <v>-5.4457429993292443</v>
      </c>
      <c r="Q270">
        <f>IF(Table1[[#This Row],[medv]]=0, "Undefined", ABS((N270-O270)/N270))*100</f>
        <v>23.884837716356333</v>
      </c>
      <c r="V270">
        <v>213</v>
      </c>
      <c r="W270">
        <v>22.738929214894402</v>
      </c>
      <c r="X270">
        <v>-0.33892921489440297</v>
      </c>
    </row>
    <row r="271" spans="1:24" x14ac:dyDescent="0.3">
      <c r="A271">
        <v>0.78569999999999995</v>
      </c>
      <c r="B271">
        <v>20</v>
      </c>
      <c r="C271">
        <v>3.97</v>
      </c>
      <c r="D271">
        <v>0</v>
      </c>
      <c r="E271">
        <v>0.64700000000000002</v>
      </c>
      <c r="F271">
        <v>7.0140000000000002</v>
      </c>
      <c r="G271">
        <v>84.6</v>
      </c>
      <c r="H271">
        <v>2.1328999999999998</v>
      </c>
      <c r="I271">
        <v>5</v>
      </c>
      <c r="J271">
        <v>264</v>
      </c>
      <c r="K271">
        <v>13</v>
      </c>
      <c r="L271">
        <v>384.07</v>
      </c>
      <c r="M271">
        <v>14.79</v>
      </c>
      <c r="N271">
        <v>30.7</v>
      </c>
      <c r="O271">
        <f t="shared" si="6"/>
        <v>31.226735925933241</v>
      </c>
      <c r="P271">
        <f>Table1[[#This Row],[medv]]-Table1[[#This Row],[pred_medv]]</f>
        <v>-0.52673592593324159</v>
      </c>
      <c r="Q271">
        <f>IF(Table1[[#This Row],[medv]]=0, "Undefined", ABS((N271-O271)/N271))*100</f>
        <v>1.7157522017369433</v>
      </c>
      <c r="V271">
        <v>214</v>
      </c>
      <c r="W271">
        <v>25.219425539207769</v>
      </c>
      <c r="X271">
        <v>2.8805744607922321</v>
      </c>
    </row>
    <row r="272" spans="1:24" x14ac:dyDescent="0.3">
      <c r="A272">
        <v>0.57833999999999997</v>
      </c>
      <c r="B272">
        <v>20</v>
      </c>
      <c r="C272">
        <v>3.97</v>
      </c>
      <c r="D272">
        <v>0</v>
      </c>
      <c r="E272">
        <v>0.57499999999999996</v>
      </c>
      <c r="F272">
        <v>8.2970000000000006</v>
      </c>
      <c r="G272">
        <v>67</v>
      </c>
      <c r="H272">
        <v>2.4216000000000002</v>
      </c>
      <c r="I272">
        <v>5</v>
      </c>
      <c r="J272">
        <v>264</v>
      </c>
      <c r="K272">
        <v>13</v>
      </c>
      <c r="L272">
        <v>384.54</v>
      </c>
      <c r="M272">
        <v>7.44</v>
      </c>
      <c r="N272">
        <v>50</v>
      </c>
      <c r="O272">
        <f t="shared" si="6"/>
        <v>40.839557496249789</v>
      </c>
      <c r="P272">
        <f>Table1[[#This Row],[medv]]-Table1[[#This Row],[pred_medv]]</f>
        <v>9.1604425037502111</v>
      </c>
      <c r="Q272">
        <f>IF(Table1[[#This Row],[medv]]=0, "Undefined", ABS((N272-O272)/N272))*100</f>
        <v>18.320885007500422</v>
      </c>
      <c r="V272">
        <v>215</v>
      </c>
      <c r="W272">
        <v>11.119167371541925</v>
      </c>
      <c r="X272">
        <v>12.580832628458074</v>
      </c>
    </row>
    <row r="273" spans="1:24" x14ac:dyDescent="0.3">
      <c r="A273">
        <v>0.54049999999999998</v>
      </c>
      <c r="B273">
        <v>20</v>
      </c>
      <c r="C273">
        <v>3.97</v>
      </c>
      <c r="D273">
        <v>0</v>
      </c>
      <c r="E273">
        <v>0.57499999999999996</v>
      </c>
      <c r="F273">
        <v>7.47</v>
      </c>
      <c r="G273">
        <v>52.6</v>
      </c>
      <c r="H273">
        <v>2.8719999999999999</v>
      </c>
      <c r="I273">
        <v>5</v>
      </c>
      <c r="J273">
        <v>264</v>
      </c>
      <c r="K273">
        <v>13</v>
      </c>
      <c r="L273">
        <v>390.3</v>
      </c>
      <c r="M273">
        <v>3.16</v>
      </c>
      <c r="N273">
        <v>43.5</v>
      </c>
      <c r="O273">
        <f t="shared" si="6"/>
        <v>39.317923930798344</v>
      </c>
      <c r="P273">
        <f>Table1[[#This Row],[medv]]-Table1[[#This Row],[pred_medv]]</f>
        <v>4.1820760692016563</v>
      </c>
      <c r="Q273">
        <f>IF(Table1[[#This Row],[medv]]=0, "Undefined", ABS((N273-O273)/N273))*100</f>
        <v>9.6139679751762213</v>
      </c>
      <c r="V273">
        <v>216</v>
      </c>
      <c r="W273">
        <v>24.51049147927953</v>
      </c>
      <c r="X273">
        <v>0.48950852072047013</v>
      </c>
    </row>
    <row r="274" spans="1:24" x14ac:dyDescent="0.3">
      <c r="A274">
        <v>9.0649999999999994E-2</v>
      </c>
      <c r="B274">
        <v>20</v>
      </c>
      <c r="C274">
        <v>6.96</v>
      </c>
      <c r="D274">
        <v>1</v>
      </c>
      <c r="E274">
        <v>0.46400000000000002</v>
      </c>
      <c r="F274">
        <v>5.92</v>
      </c>
      <c r="G274">
        <v>61.5</v>
      </c>
      <c r="H274">
        <v>3.9175</v>
      </c>
      <c r="I274">
        <v>3</v>
      </c>
      <c r="J274">
        <v>223</v>
      </c>
      <c r="K274">
        <v>18.600000000000001</v>
      </c>
      <c r="L274">
        <v>391.34</v>
      </c>
      <c r="M274">
        <v>13.65</v>
      </c>
      <c r="N274">
        <v>20.7</v>
      </c>
      <c r="O274">
        <f t="shared" si="6"/>
        <v>25.708179052263745</v>
      </c>
      <c r="P274">
        <f>Table1[[#This Row],[medv]]-Table1[[#This Row],[pred_medv]]</f>
        <v>-5.0081790522637455</v>
      </c>
      <c r="Q274">
        <f>IF(Table1[[#This Row],[medv]]=0, "Undefined", ABS((N274-O274)/N274))*100</f>
        <v>24.194101701757226</v>
      </c>
      <c r="V274">
        <v>217</v>
      </c>
      <c r="W274">
        <v>26.603347747620759</v>
      </c>
      <c r="X274">
        <v>-3.3033477476207587</v>
      </c>
    </row>
    <row r="275" spans="1:24" x14ac:dyDescent="0.3">
      <c r="A275">
        <v>0.29915999999999998</v>
      </c>
      <c r="B275">
        <v>20</v>
      </c>
      <c r="C275">
        <v>6.96</v>
      </c>
      <c r="D275">
        <v>0</v>
      </c>
      <c r="E275">
        <v>0.46400000000000002</v>
      </c>
      <c r="F275">
        <v>5.8559999999999999</v>
      </c>
      <c r="G275">
        <v>42.1</v>
      </c>
      <c r="H275">
        <v>4.4290000000000003</v>
      </c>
      <c r="I275">
        <v>3</v>
      </c>
      <c r="J275">
        <v>223</v>
      </c>
      <c r="K275">
        <v>18.600000000000001</v>
      </c>
      <c r="L275">
        <v>388.65</v>
      </c>
      <c r="M275">
        <v>13</v>
      </c>
      <c r="N275">
        <v>21.1</v>
      </c>
      <c r="O275">
        <f t="shared" si="6"/>
        <v>22.302955329512862</v>
      </c>
      <c r="P275">
        <f>Table1[[#This Row],[medv]]-Table1[[#This Row],[pred_medv]]</f>
        <v>-1.2029553295128608</v>
      </c>
      <c r="Q275">
        <f>IF(Table1[[#This Row],[medv]]=0, "Undefined", ABS((N275-O275)/N275))*100</f>
        <v>5.7012100924780134</v>
      </c>
      <c r="V275">
        <v>218</v>
      </c>
      <c r="W275">
        <v>28.355187127088318</v>
      </c>
      <c r="X275">
        <v>0.34481287291168172</v>
      </c>
    </row>
    <row r="276" spans="1:24" x14ac:dyDescent="0.3">
      <c r="A276">
        <v>0.16211</v>
      </c>
      <c r="B276">
        <v>20</v>
      </c>
      <c r="C276">
        <v>6.96</v>
      </c>
      <c r="D276">
        <v>0</v>
      </c>
      <c r="E276">
        <v>0.46400000000000002</v>
      </c>
      <c r="F276">
        <v>6.24</v>
      </c>
      <c r="G276">
        <v>16.3</v>
      </c>
      <c r="H276">
        <v>4.4290000000000003</v>
      </c>
      <c r="I276">
        <v>3</v>
      </c>
      <c r="J276">
        <v>223</v>
      </c>
      <c r="K276">
        <v>18.600000000000001</v>
      </c>
      <c r="L276">
        <v>396.9</v>
      </c>
      <c r="M276">
        <v>6.59</v>
      </c>
      <c r="N276">
        <v>25.2</v>
      </c>
      <c r="O276">
        <f t="shared" si="6"/>
        <v>27.203409718860733</v>
      </c>
      <c r="P276">
        <f>Table1[[#This Row],[medv]]-Table1[[#This Row],[pred_medv]]</f>
        <v>-2.003409718860734</v>
      </c>
      <c r="Q276">
        <f>IF(Table1[[#This Row],[medv]]=0, "Undefined", ABS((N276-O276)/N276))*100</f>
        <v>7.9500385669076747</v>
      </c>
      <c r="V276">
        <v>219</v>
      </c>
      <c r="W276">
        <v>24.915254636052737</v>
      </c>
      <c r="X276">
        <v>-3.4152546360527367</v>
      </c>
    </row>
    <row r="277" spans="1:24" x14ac:dyDescent="0.3">
      <c r="A277">
        <v>0.11459999999999999</v>
      </c>
      <c r="B277">
        <v>20</v>
      </c>
      <c r="C277">
        <v>6.96</v>
      </c>
      <c r="D277">
        <v>0</v>
      </c>
      <c r="E277">
        <v>0.46400000000000002</v>
      </c>
      <c r="F277">
        <v>6.5380000000000003</v>
      </c>
      <c r="G277">
        <v>58.7</v>
      </c>
      <c r="H277">
        <v>3.9175</v>
      </c>
      <c r="I277">
        <v>3</v>
      </c>
      <c r="J277">
        <v>223</v>
      </c>
      <c r="K277">
        <v>18.600000000000001</v>
      </c>
      <c r="L277">
        <v>394.96</v>
      </c>
      <c r="M277">
        <v>7.73</v>
      </c>
      <c r="N277">
        <v>24.4</v>
      </c>
      <c r="O277">
        <f t="shared" si="6"/>
        <v>28.511694720069421</v>
      </c>
      <c r="P277">
        <f>Table1[[#This Row],[medv]]-Table1[[#This Row],[pred_medv]]</f>
        <v>-4.1116947200694227</v>
      </c>
      <c r="Q277">
        <f>IF(Table1[[#This Row],[medv]]=0, "Undefined", ABS((N277-O277)/N277))*100</f>
        <v>16.851207869136982</v>
      </c>
      <c r="V277">
        <v>220</v>
      </c>
      <c r="W277">
        <v>29.686527678123873</v>
      </c>
      <c r="X277">
        <v>-6.6865276781238734</v>
      </c>
    </row>
    <row r="278" spans="1:24" x14ac:dyDescent="0.3">
      <c r="A278">
        <v>0.22187999999999999</v>
      </c>
      <c r="B278">
        <v>20</v>
      </c>
      <c r="C278">
        <v>6.96</v>
      </c>
      <c r="D278">
        <v>1</v>
      </c>
      <c r="E278">
        <v>0.46400000000000002</v>
      </c>
      <c r="F278">
        <v>7.6909999999999998</v>
      </c>
      <c r="G278">
        <v>51.8</v>
      </c>
      <c r="H278">
        <v>4.3665000000000003</v>
      </c>
      <c r="I278">
        <v>3</v>
      </c>
      <c r="J278">
        <v>223</v>
      </c>
      <c r="K278">
        <v>18.600000000000001</v>
      </c>
      <c r="L278">
        <v>390.77</v>
      </c>
      <c r="M278">
        <v>6.58</v>
      </c>
      <c r="N278">
        <v>35.200000000000003</v>
      </c>
      <c r="O278">
        <f t="shared" si="6"/>
        <v>35.476765982320323</v>
      </c>
      <c r="P278">
        <f>Table1[[#This Row],[medv]]-Table1[[#This Row],[pred_medv]]</f>
        <v>-0.27676598232032035</v>
      </c>
      <c r="Q278">
        <f>IF(Table1[[#This Row],[medv]]=0, "Undefined", ABS((N278-O278)/N278))*100</f>
        <v>0.78626699522818277</v>
      </c>
      <c r="V278">
        <v>221</v>
      </c>
      <c r="W278">
        <v>33.184197456336257</v>
      </c>
      <c r="X278">
        <v>-6.4841974563362577</v>
      </c>
    </row>
    <row r="279" spans="1:24" x14ac:dyDescent="0.3">
      <c r="A279">
        <v>5.6439999999999997E-2</v>
      </c>
      <c r="B279">
        <v>40</v>
      </c>
      <c r="C279">
        <v>6.41</v>
      </c>
      <c r="D279">
        <v>1</v>
      </c>
      <c r="E279">
        <v>0.44700000000000001</v>
      </c>
      <c r="F279">
        <v>6.758</v>
      </c>
      <c r="G279">
        <v>32.9</v>
      </c>
      <c r="H279">
        <v>4.0776000000000003</v>
      </c>
      <c r="I279">
        <v>4</v>
      </c>
      <c r="J279">
        <v>254</v>
      </c>
      <c r="K279">
        <v>17.600000000000001</v>
      </c>
      <c r="L279">
        <v>396.9</v>
      </c>
      <c r="M279">
        <v>3.53</v>
      </c>
      <c r="N279">
        <v>32.4</v>
      </c>
      <c r="O279">
        <f t="shared" si="6"/>
        <v>36.10639164332234</v>
      </c>
      <c r="P279">
        <f>Table1[[#This Row],[medv]]-Table1[[#This Row],[pred_medv]]</f>
        <v>-3.7063916433223412</v>
      </c>
      <c r="Q279">
        <f>IF(Table1[[#This Row],[medv]]=0, "Undefined", ABS((N279-O279)/N279))*100</f>
        <v>11.439480380624509</v>
      </c>
      <c r="V279">
        <v>222</v>
      </c>
      <c r="W279">
        <v>23.77456655964642</v>
      </c>
      <c r="X279">
        <v>-2.0745665596464207</v>
      </c>
    </row>
    <row r="280" spans="1:24" x14ac:dyDescent="0.3">
      <c r="A280">
        <v>9.604E-2</v>
      </c>
      <c r="B280">
        <v>40</v>
      </c>
      <c r="C280">
        <v>6.41</v>
      </c>
      <c r="D280">
        <v>0</v>
      </c>
      <c r="E280">
        <v>0.44700000000000001</v>
      </c>
      <c r="F280">
        <v>6.8540000000000001</v>
      </c>
      <c r="G280">
        <v>42.8</v>
      </c>
      <c r="H280">
        <v>4.2672999999999996</v>
      </c>
      <c r="I280">
        <v>4</v>
      </c>
      <c r="J280">
        <v>254</v>
      </c>
      <c r="K280">
        <v>17.600000000000001</v>
      </c>
      <c r="L280">
        <v>396.9</v>
      </c>
      <c r="M280">
        <v>2.98</v>
      </c>
      <c r="N280">
        <v>32</v>
      </c>
      <c r="O280">
        <f t="shared" si="6"/>
        <v>33.796682735210368</v>
      </c>
      <c r="P280">
        <f>Table1[[#This Row],[medv]]-Table1[[#This Row],[pred_medv]]</f>
        <v>-1.7966827352103678</v>
      </c>
      <c r="Q280">
        <f>IF(Table1[[#This Row],[medv]]=0, "Undefined", ABS((N280-O280)/N280))*100</f>
        <v>5.6146335475323994</v>
      </c>
      <c r="V280">
        <v>223</v>
      </c>
      <c r="W280">
        <v>32.140519578514123</v>
      </c>
      <c r="X280">
        <v>-4.6405195785141231</v>
      </c>
    </row>
    <row r="281" spans="1:24" x14ac:dyDescent="0.3">
      <c r="A281">
        <v>0.10469000000000001</v>
      </c>
      <c r="B281">
        <v>40</v>
      </c>
      <c r="C281">
        <v>6.41</v>
      </c>
      <c r="D281">
        <v>1</v>
      </c>
      <c r="E281">
        <v>0.44700000000000001</v>
      </c>
      <c r="F281">
        <v>7.2670000000000003</v>
      </c>
      <c r="G281">
        <v>49</v>
      </c>
      <c r="H281">
        <v>4.7872000000000003</v>
      </c>
      <c r="I281">
        <v>4</v>
      </c>
      <c r="J281">
        <v>254</v>
      </c>
      <c r="K281">
        <v>17.600000000000001</v>
      </c>
      <c r="L281">
        <v>389.25</v>
      </c>
      <c r="M281">
        <v>6.05</v>
      </c>
      <c r="N281">
        <v>33.200000000000003</v>
      </c>
      <c r="O281">
        <f t="shared" si="6"/>
        <v>35.61085857940386</v>
      </c>
      <c r="P281">
        <f>Table1[[#This Row],[medv]]-Table1[[#This Row],[pred_medv]]</f>
        <v>-2.4108585794038575</v>
      </c>
      <c r="Q281">
        <f>IF(Table1[[#This Row],[medv]]=0, "Undefined", ABS((N281-O281)/N281))*100</f>
        <v>7.2616222271200517</v>
      </c>
      <c r="V281">
        <v>224</v>
      </c>
      <c r="W281">
        <v>29.745819895723226</v>
      </c>
      <c r="X281">
        <v>0.35418010427677515</v>
      </c>
    </row>
    <row r="282" spans="1:24" x14ac:dyDescent="0.3">
      <c r="A282">
        <v>6.1269999999999998E-2</v>
      </c>
      <c r="B282">
        <v>40</v>
      </c>
      <c r="C282">
        <v>6.41</v>
      </c>
      <c r="D282">
        <v>1</v>
      </c>
      <c r="E282">
        <v>0.44700000000000001</v>
      </c>
      <c r="F282">
        <v>6.8259999999999996</v>
      </c>
      <c r="G282">
        <v>27.6</v>
      </c>
      <c r="H282">
        <v>4.8628</v>
      </c>
      <c r="I282">
        <v>4</v>
      </c>
      <c r="J282">
        <v>254</v>
      </c>
      <c r="K282">
        <v>17.600000000000001</v>
      </c>
      <c r="L282">
        <v>393.45</v>
      </c>
      <c r="M282">
        <v>4.16</v>
      </c>
      <c r="N282">
        <v>33.1</v>
      </c>
      <c r="O282">
        <f t="shared" si="6"/>
        <v>34.839933819424324</v>
      </c>
      <c r="P282">
        <f>Table1[[#This Row],[medv]]-Table1[[#This Row],[pred_medv]]</f>
        <v>-1.7399338194243228</v>
      </c>
      <c r="Q282">
        <f>IF(Table1[[#This Row],[medv]]=0, "Undefined", ABS((N282-O282)/N282))*100</f>
        <v>5.2565976417653255</v>
      </c>
      <c r="V282">
        <v>225</v>
      </c>
      <c r="W282">
        <v>38.371024526993203</v>
      </c>
      <c r="X282">
        <v>6.4289754730067941</v>
      </c>
    </row>
    <row r="283" spans="1:24" x14ac:dyDescent="0.3">
      <c r="A283">
        <v>7.9780000000000004E-2</v>
      </c>
      <c r="B283">
        <v>40</v>
      </c>
      <c r="C283">
        <v>6.41</v>
      </c>
      <c r="D283">
        <v>0</v>
      </c>
      <c r="E283">
        <v>0.44700000000000001</v>
      </c>
      <c r="F283">
        <v>6.4820000000000002</v>
      </c>
      <c r="G283">
        <v>32.1</v>
      </c>
      <c r="H283">
        <v>4.1402999999999999</v>
      </c>
      <c r="I283">
        <v>4</v>
      </c>
      <c r="J283">
        <v>254</v>
      </c>
      <c r="K283">
        <v>17.600000000000001</v>
      </c>
      <c r="L283">
        <v>396.9</v>
      </c>
      <c r="M283">
        <v>7.19</v>
      </c>
      <c r="N283">
        <v>29.1</v>
      </c>
      <c r="O283">
        <f t="shared" si="6"/>
        <v>30.351926557923701</v>
      </c>
      <c r="P283">
        <f>Table1[[#This Row],[medv]]-Table1[[#This Row],[pred_medv]]</f>
        <v>-1.2519265579236993</v>
      </c>
      <c r="Q283">
        <f>IF(Table1[[#This Row],[medv]]=0, "Undefined", ABS((N283-O283)/N283))*100</f>
        <v>4.3021531200127123</v>
      </c>
      <c r="V283">
        <v>226</v>
      </c>
      <c r="W283">
        <v>39.814618670275721</v>
      </c>
      <c r="X283">
        <v>10.185381329724279</v>
      </c>
    </row>
    <row r="284" spans="1:24" x14ac:dyDescent="0.3">
      <c r="A284">
        <v>0.21038000000000001</v>
      </c>
      <c r="B284">
        <v>20</v>
      </c>
      <c r="C284">
        <v>3.33</v>
      </c>
      <c r="D284">
        <v>0</v>
      </c>
      <c r="E284">
        <v>0.44290000000000002</v>
      </c>
      <c r="F284">
        <v>6.8120000000000003</v>
      </c>
      <c r="G284">
        <v>32.200000000000003</v>
      </c>
      <c r="H284">
        <v>4.1006999999999998</v>
      </c>
      <c r="I284">
        <v>5</v>
      </c>
      <c r="J284">
        <v>216</v>
      </c>
      <c r="K284">
        <v>14.9</v>
      </c>
      <c r="L284">
        <v>396.9</v>
      </c>
      <c r="M284">
        <v>4.8499999999999996</v>
      </c>
      <c r="N284">
        <v>35.1</v>
      </c>
      <c r="O284">
        <f t="shared" si="6"/>
        <v>35.309807009481425</v>
      </c>
      <c r="P284">
        <f>Table1[[#This Row],[medv]]-Table1[[#This Row],[pred_medv]]</f>
        <v>-0.20980700948142328</v>
      </c>
      <c r="Q284">
        <f>IF(Table1[[#This Row],[medv]]=0, "Undefined", ABS((N284-O284)/N284))*100</f>
        <v>0.59774076775334262</v>
      </c>
      <c r="V284">
        <v>227</v>
      </c>
      <c r="W284">
        <v>37.586057549658683</v>
      </c>
      <c r="X284">
        <v>1.3942450341318136E-2</v>
      </c>
    </row>
    <row r="285" spans="1:24" x14ac:dyDescent="0.3">
      <c r="A285">
        <v>3.5779999999999999E-2</v>
      </c>
      <c r="B285">
        <v>20</v>
      </c>
      <c r="C285">
        <v>3.33</v>
      </c>
      <c r="D285">
        <v>0</v>
      </c>
      <c r="E285">
        <v>0.44290000000000002</v>
      </c>
      <c r="F285">
        <v>7.82</v>
      </c>
      <c r="G285">
        <v>64.5</v>
      </c>
      <c r="H285">
        <v>4.6947000000000001</v>
      </c>
      <c r="I285">
        <v>5</v>
      </c>
      <c r="J285">
        <v>216</v>
      </c>
      <c r="K285">
        <v>14.9</v>
      </c>
      <c r="L285">
        <v>387.31</v>
      </c>
      <c r="M285">
        <v>3.76</v>
      </c>
      <c r="N285">
        <v>45.4</v>
      </c>
      <c r="O285">
        <f t="shared" si="6"/>
        <v>38.79756965988679</v>
      </c>
      <c r="P285">
        <f>Table1[[#This Row],[medv]]-Table1[[#This Row],[pred_medv]]</f>
        <v>6.6024303401132087</v>
      </c>
      <c r="Q285">
        <f>IF(Table1[[#This Row],[medv]]=0, "Undefined", ABS((N285-O285)/N285))*100</f>
        <v>14.542798105976232</v>
      </c>
      <c r="V285">
        <v>228</v>
      </c>
      <c r="W285">
        <v>32.399532502637484</v>
      </c>
      <c r="X285">
        <v>-0.79953250263748288</v>
      </c>
    </row>
    <row r="286" spans="1:24" x14ac:dyDescent="0.3">
      <c r="A286">
        <v>3.705E-2</v>
      </c>
      <c r="B286">
        <v>20</v>
      </c>
      <c r="C286">
        <v>3.33</v>
      </c>
      <c r="D286">
        <v>0</v>
      </c>
      <c r="E286">
        <v>0.44290000000000002</v>
      </c>
      <c r="F286">
        <v>6.968</v>
      </c>
      <c r="G286">
        <v>37.200000000000003</v>
      </c>
      <c r="H286">
        <v>5.2446999999999999</v>
      </c>
      <c r="I286">
        <v>5</v>
      </c>
      <c r="J286">
        <v>216</v>
      </c>
      <c r="K286">
        <v>14.9</v>
      </c>
      <c r="L286">
        <v>392.23</v>
      </c>
      <c r="M286">
        <v>4.59</v>
      </c>
      <c r="N286">
        <v>35.4</v>
      </c>
      <c r="O286">
        <f t="shared" si="6"/>
        <v>34.331231859586353</v>
      </c>
      <c r="P286">
        <f>Table1[[#This Row],[medv]]-Table1[[#This Row],[pred_medv]]</f>
        <v>1.0687681404136455</v>
      </c>
      <c r="Q286">
        <f>IF(Table1[[#This Row],[medv]]=0, "Undefined", ABS((N286-O286)/N286))*100</f>
        <v>3.0191190407165132</v>
      </c>
      <c r="V286">
        <v>229</v>
      </c>
      <c r="W286">
        <v>35.456652419827833</v>
      </c>
      <c r="X286">
        <v>11.24334758017217</v>
      </c>
    </row>
    <row r="287" spans="1:24" x14ac:dyDescent="0.3">
      <c r="A287">
        <v>6.1289999999999997E-2</v>
      </c>
      <c r="B287">
        <v>20</v>
      </c>
      <c r="C287">
        <v>3.33</v>
      </c>
      <c r="D287">
        <v>1</v>
      </c>
      <c r="E287">
        <v>0.44290000000000002</v>
      </c>
      <c r="F287">
        <v>7.6449999999999996</v>
      </c>
      <c r="G287">
        <v>49.7</v>
      </c>
      <c r="H287">
        <v>5.2119</v>
      </c>
      <c r="I287">
        <v>5</v>
      </c>
      <c r="J287">
        <v>216</v>
      </c>
      <c r="K287">
        <v>14.9</v>
      </c>
      <c r="L287">
        <v>377.07</v>
      </c>
      <c r="M287">
        <v>3.01</v>
      </c>
      <c r="N287">
        <v>46</v>
      </c>
      <c r="O287">
        <f t="shared" si="6"/>
        <v>40.339630747748068</v>
      </c>
      <c r="P287">
        <f>Table1[[#This Row],[medv]]-Table1[[#This Row],[pred_medv]]</f>
        <v>5.6603692522519324</v>
      </c>
      <c r="Q287">
        <f>IF(Table1[[#This Row],[medv]]=0, "Undefined", ABS((N287-O287)/N287))*100</f>
        <v>12.305150548373767</v>
      </c>
      <c r="V287">
        <v>230</v>
      </c>
      <c r="W287">
        <v>31.234115116973616</v>
      </c>
      <c r="X287">
        <v>0.26588488302638424</v>
      </c>
    </row>
    <row r="288" spans="1:24" x14ac:dyDescent="0.3">
      <c r="A288">
        <v>1.5010000000000001E-2</v>
      </c>
      <c r="B288">
        <v>90</v>
      </c>
      <c r="C288">
        <v>1.21</v>
      </c>
      <c r="D288">
        <v>1</v>
      </c>
      <c r="E288">
        <v>0.40100000000000002</v>
      </c>
      <c r="F288">
        <v>7.923</v>
      </c>
      <c r="G288">
        <v>24.8</v>
      </c>
      <c r="H288">
        <v>5.8849999999999998</v>
      </c>
      <c r="I288">
        <v>1</v>
      </c>
      <c r="J288">
        <v>198</v>
      </c>
      <c r="K288">
        <v>13.6</v>
      </c>
      <c r="L288">
        <v>395.52</v>
      </c>
      <c r="M288">
        <v>3.16</v>
      </c>
      <c r="N288">
        <v>50</v>
      </c>
      <c r="O288">
        <f t="shared" si="6"/>
        <v>44.67308338731317</v>
      </c>
      <c r="P288">
        <f>Table1[[#This Row],[medv]]-Table1[[#This Row],[pred_medv]]</f>
        <v>5.3269166126868299</v>
      </c>
      <c r="Q288">
        <f>IF(Table1[[#This Row],[medv]]=0, "Undefined", ABS((N288-O288)/N288))*100</f>
        <v>10.65383322537366</v>
      </c>
      <c r="V288">
        <v>231</v>
      </c>
      <c r="W288">
        <v>24.484492269065854</v>
      </c>
      <c r="X288">
        <v>-0.18449226906585281</v>
      </c>
    </row>
    <row r="289" spans="1:24" x14ac:dyDescent="0.3">
      <c r="A289">
        <v>9.0600000000000003E-3</v>
      </c>
      <c r="B289">
        <v>90</v>
      </c>
      <c r="C289">
        <v>2.97</v>
      </c>
      <c r="D289">
        <v>0</v>
      </c>
      <c r="E289">
        <v>0.4</v>
      </c>
      <c r="F289">
        <v>7.0880000000000001</v>
      </c>
      <c r="G289">
        <v>20.8</v>
      </c>
      <c r="H289">
        <v>7.3072999999999997</v>
      </c>
      <c r="I289">
        <v>1</v>
      </c>
      <c r="J289">
        <v>285</v>
      </c>
      <c r="K289">
        <v>15.3</v>
      </c>
      <c r="L289">
        <v>394.72</v>
      </c>
      <c r="M289">
        <v>7.85</v>
      </c>
      <c r="N289">
        <v>32.200000000000003</v>
      </c>
      <c r="O289">
        <f t="shared" si="6"/>
        <v>31.596890855031791</v>
      </c>
      <c r="P289">
        <f>Table1[[#This Row],[medv]]-Table1[[#This Row],[pred_medv]]</f>
        <v>0.60310914496821155</v>
      </c>
      <c r="Q289">
        <f>IF(Table1[[#This Row],[medv]]=0, "Undefined", ABS((N289-O289)/N289))*100</f>
        <v>1.8730097669820231</v>
      </c>
      <c r="V289">
        <v>232</v>
      </c>
      <c r="W289">
        <v>33.288372916019142</v>
      </c>
      <c r="X289">
        <v>-1.5883729160191429</v>
      </c>
    </row>
    <row r="290" spans="1:24" x14ac:dyDescent="0.3">
      <c r="A290">
        <v>1.0959999999999999E-2</v>
      </c>
      <c r="B290">
        <v>55</v>
      </c>
      <c r="C290">
        <v>2.25</v>
      </c>
      <c r="D290">
        <v>0</v>
      </c>
      <c r="E290">
        <v>0.38900000000000001</v>
      </c>
      <c r="F290">
        <v>6.4530000000000003</v>
      </c>
      <c r="G290">
        <v>31.9</v>
      </c>
      <c r="H290">
        <v>7.3072999999999997</v>
      </c>
      <c r="I290">
        <v>1</v>
      </c>
      <c r="J290">
        <v>300</v>
      </c>
      <c r="K290">
        <v>15.3</v>
      </c>
      <c r="L290">
        <v>394.72</v>
      </c>
      <c r="M290">
        <v>8.23</v>
      </c>
      <c r="N290">
        <v>22</v>
      </c>
      <c r="O290">
        <f t="shared" si="6"/>
        <v>27.356592297988332</v>
      </c>
      <c r="P290">
        <f>Table1[[#This Row],[medv]]-Table1[[#This Row],[pred_medv]]</f>
        <v>-5.3565922979883318</v>
      </c>
      <c r="Q290">
        <f>IF(Table1[[#This Row],[medv]]=0, "Undefined", ABS((N290-O290)/N290))*100</f>
        <v>24.348146809037871</v>
      </c>
      <c r="V290">
        <v>233</v>
      </c>
      <c r="W290">
        <v>38.048104803594264</v>
      </c>
      <c r="X290">
        <v>3.6518951964057393</v>
      </c>
    </row>
    <row r="291" spans="1:24" x14ac:dyDescent="0.3">
      <c r="A291">
        <v>1.9650000000000001E-2</v>
      </c>
      <c r="B291">
        <v>80</v>
      </c>
      <c r="C291">
        <v>1.76</v>
      </c>
      <c r="D291">
        <v>0</v>
      </c>
      <c r="E291">
        <v>0.38500000000000001</v>
      </c>
      <c r="F291">
        <v>6.23</v>
      </c>
      <c r="G291">
        <v>31.5</v>
      </c>
      <c r="H291">
        <v>9.0891999999999999</v>
      </c>
      <c r="I291">
        <v>1</v>
      </c>
      <c r="J291">
        <v>241</v>
      </c>
      <c r="K291">
        <v>18.2</v>
      </c>
      <c r="L291">
        <v>341.6</v>
      </c>
      <c r="M291">
        <v>12.93</v>
      </c>
      <c r="N291">
        <v>20.100000000000001</v>
      </c>
      <c r="O291">
        <f t="shared" si="6"/>
        <v>20.101741541006447</v>
      </c>
      <c r="P291">
        <f>Table1[[#This Row],[medv]]-Table1[[#This Row],[pred_medv]]</f>
        <v>-1.741541006445857E-3</v>
      </c>
      <c r="Q291">
        <f>IF(Table1[[#This Row],[medv]]=0, "Undefined", ABS((N291-O291)/N291))*100</f>
        <v>8.6643831166460551E-3</v>
      </c>
      <c r="V291">
        <v>234</v>
      </c>
      <c r="W291">
        <v>37.163286314684925</v>
      </c>
      <c r="X291">
        <v>11.136713685315073</v>
      </c>
    </row>
    <row r="292" spans="1:24" x14ac:dyDescent="0.3">
      <c r="A292">
        <v>3.8710000000000001E-2</v>
      </c>
      <c r="B292">
        <v>52.5</v>
      </c>
      <c r="C292">
        <v>5.32</v>
      </c>
      <c r="D292">
        <v>0</v>
      </c>
      <c r="E292">
        <v>0.40500000000000003</v>
      </c>
      <c r="F292">
        <v>6.2089999999999996</v>
      </c>
      <c r="G292">
        <v>31.3</v>
      </c>
      <c r="H292">
        <v>7.3171999999999997</v>
      </c>
      <c r="I292">
        <v>6</v>
      </c>
      <c r="J292">
        <v>293</v>
      </c>
      <c r="K292">
        <v>16.600000000000001</v>
      </c>
      <c r="L292">
        <v>396.9</v>
      </c>
      <c r="M292">
        <v>7.14</v>
      </c>
      <c r="N292">
        <v>23.2</v>
      </c>
      <c r="O292">
        <f t="shared" si="6"/>
        <v>27.042066735689943</v>
      </c>
      <c r="P292">
        <f>Table1[[#This Row],[medv]]-Table1[[#This Row],[pred_medv]]</f>
        <v>-3.8420667356899436</v>
      </c>
      <c r="Q292">
        <f>IF(Table1[[#This Row],[medv]]=0, "Undefined", ABS((N292-O292)/N292))*100</f>
        <v>16.560632481422171</v>
      </c>
      <c r="V292">
        <v>235</v>
      </c>
      <c r="W292">
        <v>31.713835225277993</v>
      </c>
      <c r="X292">
        <v>-2.7138352252779931</v>
      </c>
    </row>
    <row r="293" spans="1:24" x14ac:dyDescent="0.3">
      <c r="A293">
        <v>4.5900000000000003E-2</v>
      </c>
      <c r="B293">
        <v>52.5</v>
      </c>
      <c r="C293">
        <v>5.32</v>
      </c>
      <c r="D293">
        <v>0</v>
      </c>
      <c r="E293">
        <v>0.40500000000000003</v>
      </c>
      <c r="F293">
        <v>6.3150000000000004</v>
      </c>
      <c r="G293">
        <v>45.6</v>
      </c>
      <c r="H293">
        <v>7.3171999999999997</v>
      </c>
      <c r="I293">
        <v>6</v>
      </c>
      <c r="J293">
        <v>293</v>
      </c>
      <c r="K293">
        <v>16.600000000000001</v>
      </c>
      <c r="L293">
        <v>396.9</v>
      </c>
      <c r="M293">
        <v>7.6</v>
      </c>
      <c r="N293">
        <v>22.3</v>
      </c>
      <c r="O293">
        <f t="shared" si="6"/>
        <v>27.213645804492277</v>
      </c>
      <c r="P293">
        <f>Table1[[#This Row],[medv]]-Table1[[#This Row],[pred_medv]]</f>
        <v>-4.9136458044922762</v>
      </c>
      <c r="Q293">
        <f>IF(Table1[[#This Row],[medv]]=0, "Undefined", ABS((N293-O293)/N293))*100</f>
        <v>22.034286118799443</v>
      </c>
      <c r="V293">
        <v>236</v>
      </c>
      <c r="W293">
        <v>25.267055713315255</v>
      </c>
      <c r="X293">
        <v>-1.2670557133152549</v>
      </c>
    </row>
    <row r="294" spans="1:24" x14ac:dyDescent="0.3">
      <c r="A294">
        <v>4.2970000000000001E-2</v>
      </c>
      <c r="B294">
        <v>52.5</v>
      </c>
      <c r="C294">
        <v>5.32</v>
      </c>
      <c r="D294">
        <v>0</v>
      </c>
      <c r="E294">
        <v>0.40500000000000003</v>
      </c>
      <c r="F294">
        <v>6.5650000000000004</v>
      </c>
      <c r="G294">
        <v>22.9</v>
      </c>
      <c r="H294">
        <v>7.3171999999999997</v>
      </c>
      <c r="I294">
        <v>6</v>
      </c>
      <c r="J294">
        <v>293</v>
      </c>
      <c r="K294">
        <v>16.600000000000001</v>
      </c>
      <c r="L294">
        <v>371.72</v>
      </c>
      <c r="M294">
        <v>9.51</v>
      </c>
      <c r="N294">
        <v>24.8</v>
      </c>
      <c r="O294">
        <f t="shared" si="6"/>
        <v>26.91395839359911</v>
      </c>
      <c r="P294">
        <f>Table1[[#This Row],[medv]]-Table1[[#This Row],[pred_medv]]</f>
        <v>-2.1139583935991091</v>
      </c>
      <c r="Q294">
        <f>IF(Table1[[#This Row],[medv]]=0, "Undefined", ABS((N294-O294)/N294))*100</f>
        <v>8.5240257806415691</v>
      </c>
      <c r="V294">
        <v>237</v>
      </c>
      <c r="W294">
        <v>30.100107449038276</v>
      </c>
      <c r="X294">
        <v>-5.0001074490382749</v>
      </c>
    </row>
    <row r="295" spans="1:24" x14ac:dyDescent="0.3">
      <c r="A295">
        <v>3.5020000000000003E-2</v>
      </c>
      <c r="B295">
        <v>80</v>
      </c>
      <c r="C295">
        <v>4.95</v>
      </c>
      <c r="D295">
        <v>0</v>
      </c>
      <c r="E295">
        <v>0.41099999999999998</v>
      </c>
      <c r="F295">
        <v>6.8609999999999998</v>
      </c>
      <c r="G295">
        <v>27.9</v>
      </c>
      <c r="H295">
        <v>5.1166999999999998</v>
      </c>
      <c r="I295">
        <v>4</v>
      </c>
      <c r="J295">
        <v>245</v>
      </c>
      <c r="K295">
        <v>19.2</v>
      </c>
      <c r="L295">
        <v>396.9</v>
      </c>
      <c r="M295">
        <v>3.33</v>
      </c>
      <c r="N295">
        <v>28.5</v>
      </c>
      <c r="O295">
        <f t="shared" si="6"/>
        <v>33.435633105585453</v>
      </c>
      <c r="P295">
        <f>Table1[[#This Row],[medv]]-Table1[[#This Row],[pred_medv]]</f>
        <v>-4.9356331055854525</v>
      </c>
      <c r="Q295">
        <f>IF(Table1[[#This Row],[medv]]=0, "Undefined", ABS((N295-O295)/N295))*100</f>
        <v>17.318010896791062</v>
      </c>
      <c r="V295">
        <v>238</v>
      </c>
      <c r="W295">
        <v>32.719871558075518</v>
      </c>
      <c r="X295">
        <v>-1.2198715580755177</v>
      </c>
    </row>
    <row r="296" spans="1:24" x14ac:dyDescent="0.3">
      <c r="A296">
        <v>7.886E-2</v>
      </c>
      <c r="B296">
        <v>80</v>
      </c>
      <c r="C296">
        <v>4.95</v>
      </c>
      <c r="D296">
        <v>0</v>
      </c>
      <c r="E296">
        <v>0.41099999999999998</v>
      </c>
      <c r="F296">
        <v>7.1479999999999997</v>
      </c>
      <c r="G296">
        <v>27.7</v>
      </c>
      <c r="H296">
        <v>5.1166999999999998</v>
      </c>
      <c r="I296">
        <v>4</v>
      </c>
      <c r="J296">
        <v>245</v>
      </c>
      <c r="K296">
        <v>19.2</v>
      </c>
      <c r="L296">
        <v>396.9</v>
      </c>
      <c r="M296">
        <v>3.56</v>
      </c>
      <c r="N296">
        <v>37.299999999999997</v>
      </c>
      <c r="O296">
        <f t="shared" si="6"/>
        <v>34.403496330177305</v>
      </c>
      <c r="P296">
        <f>Table1[[#This Row],[medv]]-Table1[[#This Row],[pred_medv]]</f>
        <v>2.8965036698226925</v>
      </c>
      <c r="Q296">
        <f>IF(Table1[[#This Row],[medv]]=0, "Undefined", ABS((N296-O296)/N296))*100</f>
        <v>7.7654253882645925</v>
      </c>
      <c r="V296">
        <v>239</v>
      </c>
      <c r="W296">
        <v>28.427170565976322</v>
      </c>
      <c r="X296">
        <v>-4.7271705659763228</v>
      </c>
    </row>
    <row r="297" spans="1:24" x14ac:dyDescent="0.3">
      <c r="A297">
        <v>3.6150000000000002E-2</v>
      </c>
      <c r="B297">
        <v>80</v>
      </c>
      <c r="C297">
        <v>4.95</v>
      </c>
      <c r="D297">
        <v>0</v>
      </c>
      <c r="E297">
        <v>0.41099999999999998</v>
      </c>
      <c r="F297">
        <v>6.63</v>
      </c>
      <c r="G297">
        <v>23.4</v>
      </c>
      <c r="H297">
        <v>5.1166999999999998</v>
      </c>
      <c r="I297">
        <v>4</v>
      </c>
      <c r="J297">
        <v>245</v>
      </c>
      <c r="K297">
        <v>19.2</v>
      </c>
      <c r="L297">
        <v>396.9</v>
      </c>
      <c r="M297">
        <v>4.7</v>
      </c>
      <c r="N297">
        <v>27.9</v>
      </c>
      <c r="O297">
        <f t="shared" si="6"/>
        <v>31.833398201434608</v>
      </c>
      <c r="P297">
        <f>Table1[[#This Row],[medv]]-Table1[[#This Row],[pred_medv]]</f>
        <v>-3.9333982014346098</v>
      </c>
      <c r="Q297">
        <f>IF(Table1[[#This Row],[medv]]=0, "Undefined", ABS((N297-O297)/N297))*100</f>
        <v>14.098201438833726</v>
      </c>
      <c r="V297">
        <v>240</v>
      </c>
      <c r="W297">
        <v>28.429406780589069</v>
      </c>
      <c r="X297">
        <v>-5.1294067805890684</v>
      </c>
    </row>
    <row r="298" spans="1:24" x14ac:dyDescent="0.3">
      <c r="A298">
        <v>8.2650000000000001E-2</v>
      </c>
      <c r="B298">
        <v>0</v>
      </c>
      <c r="C298">
        <v>13.92</v>
      </c>
      <c r="D298">
        <v>0</v>
      </c>
      <c r="E298">
        <v>0.437</v>
      </c>
      <c r="F298">
        <v>6.1269999999999998</v>
      </c>
      <c r="G298">
        <v>18.399999999999999</v>
      </c>
      <c r="H298">
        <v>5.5026999999999999</v>
      </c>
      <c r="I298">
        <v>4</v>
      </c>
      <c r="J298">
        <v>289</v>
      </c>
      <c r="K298">
        <v>16</v>
      </c>
      <c r="L298">
        <v>396.9</v>
      </c>
      <c r="M298">
        <v>8.58</v>
      </c>
      <c r="N298">
        <v>23.9</v>
      </c>
      <c r="O298">
        <f t="shared" si="6"/>
        <v>25.817832368947823</v>
      </c>
      <c r="P298">
        <f>Table1[[#This Row],[medv]]-Table1[[#This Row],[pred_medv]]</f>
        <v>-1.9178323689478241</v>
      </c>
      <c r="Q298">
        <f>IF(Table1[[#This Row],[medv]]=0, "Undefined", ABS((N298-O298)/N298))*100</f>
        <v>8.0244032173549122</v>
      </c>
      <c r="V298">
        <v>241</v>
      </c>
      <c r="W298">
        <v>27.293759384044428</v>
      </c>
      <c r="X298">
        <v>-5.2937593840444279</v>
      </c>
    </row>
    <row r="299" spans="1:24" x14ac:dyDescent="0.3">
      <c r="A299">
        <v>8.1989999999999993E-2</v>
      </c>
      <c r="B299">
        <v>0</v>
      </c>
      <c r="C299">
        <v>13.92</v>
      </c>
      <c r="D299">
        <v>0</v>
      </c>
      <c r="E299">
        <v>0.437</v>
      </c>
      <c r="F299">
        <v>6.0090000000000003</v>
      </c>
      <c r="G299">
        <v>42.3</v>
      </c>
      <c r="H299">
        <v>5.5026999999999999</v>
      </c>
      <c r="I299">
        <v>4</v>
      </c>
      <c r="J299">
        <v>289</v>
      </c>
      <c r="K299">
        <v>16</v>
      </c>
      <c r="L299">
        <v>396.9</v>
      </c>
      <c r="M299">
        <v>10.4</v>
      </c>
      <c r="N299">
        <v>21.7</v>
      </c>
      <c r="O299">
        <f t="shared" si="6"/>
        <v>24.429823483247748</v>
      </c>
      <c r="P299">
        <f>Table1[[#This Row],[medv]]-Table1[[#This Row],[pred_medv]]</f>
        <v>-2.729823483247749</v>
      </c>
      <c r="Q299">
        <f>IF(Table1[[#This Row],[medv]]=0, "Undefined", ABS((N299-O299)/N299))*100</f>
        <v>12.579831720035711</v>
      </c>
      <c r="V299">
        <v>242</v>
      </c>
      <c r="W299">
        <v>23.742624782954934</v>
      </c>
      <c r="X299">
        <v>-3.6426247829549325</v>
      </c>
    </row>
    <row r="300" spans="1:24" x14ac:dyDescent="0.3">
      <c r="A300">
        <v>0.12931999999999999</v>
      </c>
      <c r="B300">
        <v>0</v>
      </c>
      <c r="C300">
        <v>13.92</v>
      </c>
      <c r="D300">
        <v>0</v>
      </c>
      <c r="E300">
        <v>0.437</v>
      </c>
      <c r="F300">
        <v>6.6779999999999999</v>
      </c>
      <c r="G300">
        <v>31.1</v>
      </c>
      <c r="H300">
        <v>5.9603999999999999</v>
      </c>
      <c r="I300">
        <v>4</v>
      </c>
      <c r="J300">
        <v>289</v>
      </c>
      <c r="K300">
        <v>16</v>
      </c>
      <c r="L300">
        <v>396.9</v>
      </c>
      <c r="M300">
        <v>6.27</v>
      </c>
      <c r="N300">
        <v>28.6</v>
      </c>
      <c r="O300">
        <f t="shared" si="6"/>
        <v>28.457643368376772</v>
      </c>
      <c r="P300">
        <f>Table1[[#This Row],[medv]]-Table1[[#This Row],[pred_medv]]</f>
        <v>0.14235663162322965</v>
      </c>
      <c r="Q300">
        <f>IF(Table1[[#This Row],[medv]]=0, "Undefined", ABS((N300-O300)/N300))*100</f>
        <v>0.4977504602210826</v>
      </c>
      <c r="V300">
        <v>243</v>
      </c>
      <c r="W300">
        <v>24.120078909164576</v>
      </c>
      <c r="X300">
        <v>-1.9200789091645767</v>
      </c>
    </row>
    <row r="301" spans="1:24" x14ac:dyDescent="0.3">
      <c r="A301">
        <v>5.3719999999999997E-2</v>
      </c>
      <c r="B301">
        <v>0</v>
      </c>
      <c r="C301">
        <v>13.92</v>
      </c>
      <c r="D301">
        <v>0</v>
      </c>
      <c r="E301">
        <v>0.437</v>
      </c>
      <c r="F301">
        <v>6.5490000000000004</v>
      </c>
      <c r="G301">
        <v>51</v>
      </c>
      <c r="H301">
        <v>5.9603999999999999</v>
      </c>
      <c r="I301">
        <v>4</v>
      </c>
      <c r="J301">
        <v>289</v>
      </c>
      <c r="K301">
        <v>16</v>
      </c>
      <c r="L301">
        <v>392.85</v>
      </c>
      <c r="M301">
        <v>7.39</v>
      </c>
      <c r="N301">
        <v>27.1</v>
      </c>
      <c r="O301">
        <f t="shared" si="6"/>
        <v>27.362669985236693</v>
      </c>
      <c r="P301">
        <f>Table1[[#This Row],[medv]]-Table1[[#This Row],[pred_medv]]</f>
        <v>-0.26266998523669116</v>
      </c>
      <c r="Q301">
        <f>IF(Table1[[#This Row],[medv]]=0, "Undefined", ABS((N301-O301)/N301))*100</f>
        <v>0.96926193814277173</v>
      </c>
      <c r="V301">
        <v>244</v>
      </c>
      <c r="W301">
        <v>27.402084137610768</v>
      </c>
      <c r="X301">
        <v>-3.7020841376107683</v>
      </c>
    </row>
    <row r="302" spans="1:24" x14ac:dyDescent="0.3">
      <c r="A302">
        <v>0.14102999999999999</v>
      </c>
      <c r="B302">
        <v>0</v>
      </c>
      <c r="C302">
        <v>13.92</v>
      </c>
      <c r="D302">
        <v>0</v>
      </c>
      <c r="E302">
        <v>0.437</v>
      </c>
      <c r="F302">
        <v>5.79</v>
      </c>
      <c r="G302">
        <v>58</v>
      </c>
      <c r="H302">
        <v>6.32</v>
      </c>
      <c r="I302">
        <v>4</v>
      </c>
      <c r="J302">
        <v>289</v>
      </c>
      <c r="K302">
        <v>16</v>
      </c>
      <c r="L302">
        <v>396.9</v>
      </c>
      <c r="M302">
        <v>15.84</v>
      </c>
      <c r="N302">
        <v>20.3</v>
      </c>
      <c r="O302">
        <f t="shared" si="6"/>
        <v>19.539287580800313</v>
      </c>
      <c r="P302">
        <f>Table1[[#This Row],[medv]]-Table1[[#This Row],[pred_medv]]</f>
        <v>0.76071241919968813</v>
      </c>
      <c r="Q302">
        <f>IF(Table1[[#This Row],[medv]]=0, "Undefined", ABS((N302-O302)/N302))*100</f>
        <v>3.7473518187176751</v>
      </c>
      <c r="V302">
        <v>245</v>
      </c>
      <c r="W302">
        <v>16.328575600536116</v>
      </c>
      <c r="X302">
        <v>1.2714243994638856</v>
      </c>
    </row>
    <row r="303" spans="1:24" x14ac:dyDescent="0.3">
      <c r="A303">
        <v>6.4659999999999995E-2</v>
      </c>
      <c r="B303">
        <v>70</v>
      </c>
      <c r="C303">
        <v>2.2400000000000002</v>
      </c>
      <c r="D303">
        <v>0</v>
      </c>
      <c r="E303">
        <v>0.4</v>
      </c>
      <c r="F303">
        <v>6.3449999999999998</v>
      </c>
      <c r="G303">
        <v>20.100000000000001</v>
      </c>
      <c r="H303">
        <v>7.8277999999999999</v>
      </c>
      <c r="I303">
        <v>5</v>
      </c>
      <c r="J303">
        <v>358</v>
      </c>
      <c r="K303">
        <v>14.8</v>
      </c>
      <c r="L303">
        <v>368.24</v>
      </c>
      <c r="M303">
        <v>4.97</v>
      </c>
      <c r="N303">
        <v>22.5</v>
      </c>
      <c r="O303">
        <f t="shared" si="6"/>
        <v>29.113098440926201</v>
      </c>
      <c r="P303">
        <f>Table1[[#This Row],[medv]]-Table1[[#This Row],[pred_medv]]</f>
        <v>-6.6130984409262012</v>
      </c>
      <c r="Q303">
        <f>IF(Table1[[#This Row],[medv]]=0, "Undefined", ABS((N303-O303)/N303))*100</f>
        <v>29.391548626338672</v>
      </c>
      <c r="V303">
        <v>246</v>
      </c>
      <c r="W303">
        <v>13.398912612968973</v>
      </c>
      <c r="X303">
        <v>5.1010873870310274</v>
      </c>
    </row>
    <row r="304" spans="1:24" x14ac:dyDescent="0.3">
      <c r="A304">
        <v>5.561E-2</v>
      </c>
      <c r="B304">
        <v>70</v>
      </c>
      <c r="C304">
        <v>2.2400000000000002</v>
      </c>
      <c r="D304">
        <v>0</v>
      </c>
      <c r="E304">
        <v>0.4</v>
      </c>
      <c r="F304">
        <v>7.0410000000000004</v>
      </c>
      <c r="G304">
        <v>10</v>
      </c>
      <c r="H304">
        <v>7.8277999999999999</v>
      </c>
      <c r="I304">
        <v>5</v>
      </c>
      <c r="J304">
        <v>358</v>
      </c>
      <c r="K304">
        <v>14.8</v>
      </c>
      <c r="L304">
        <v>371.58</v>
      </c>
      <c r="M304">
        <v>4.74</v>
      </c>
      <c r="N304">
        <v>29</v>
      </c>
      <c r="O304">
        <f t="shared" si="6"/>
        <v>31.910546107827596</v>
      </c>
      <c r="P304">
        <f>Table1[[#This Row],[medv]]-Table1[[#This Row],[pred_medv]]</f>
        <v>-2.9105461078275958</v>
      </c>
      <c r="Q304">
        <f>IF(Table1[[#This Row],[medv]]=0, "Undefined", ABS((N304-O304)/N304))*100</f>
        <v>10.036365889060676</v>
      </c>
      <c r="V304">
        <v>247</v>
      </c>
      <c r="W304">
        <v>20.016387752377213</v>
      </c>
      <c r="X304">
        <v>4.2836122476227878</v>
      </c>
    </row>
    <row r="305" spans="1:24" x14ac:dyDescent="0.3">
      <c r="A305">
        <v>4.4170000000000001E-2</v>
      </c>
      <c r="B305">
        <v>70</v>
      </c>
      <c r="C305">
        <v>2.2400000000000002</v>
      </c>
      <c r="D305">
        <v>0</v>
      </c>
      <c r="E305">
        <v>0.4</v>
      </c>
      <c r="F305">
        <v>6.8710000000000004</v>
      </c>
      <c r="G305">
        <v>47.4</v>
      </c>
      <c r="H305">
        <v>7.8277999999999999</v>
      </c>
      <c r="I305">
        <v>5</v>
      </c>
      <c r="J305">
        <v>358</v>
      </c>
      <c r="K305">
        <v>14.8</v>
      </c>
      <c r="L305">
        <v>390.86</v>
      </c>
      <c r="M305">
        <v>6.07</v>
      </c>
      <c r="N305">
        <v>24.8</v>
      </c>
      <c r="O305">
        <f t="shared" si="6"/>
        <v>30.771594485123515</v>
      </c>
      <c r="P305">
        <f>Table1[[#This Row],[medv]]-Table1[[#This Row],[pred_medv]]</f>
        <v>-5.9715944851235143</v>
      </c>
      <c r="Q305">
        <f>IF(Table1[[#This Row],[medv]]=0, "Undefined", ABS((N305-O305)/N305))*100</f>
        <v>24.079010020659332</v>
      </c>
      <c r="V305">
        <v>248</v>
      </c>
      <c r="W305">
        <v>19.861844278230674</v>
      </c>
      <c r="X305">
        <v>0.63815572176932633</v>
      </c>
    </row>
    <row r="306" spans="1:24" x14ac:dyDescent="0.3">
      <c r="A306">
        <v>3.5369999999999999E-2</v>
      </c>
      <c r="B306">
        <v>34</v>
      </c>
      <c r="C306">
        <v>6.09</v>
      </c>
      <c r="D306">
        <v>0</v>
      </c>
      <c r="E306">
        <v>0.433</v>
      </c>
      <c r="F306">
        <v>6.59</v>
      </c>
      <c r="G306">
        <v>40.4</v>
      </c>
      <c r="H306">
        <v>5.4916999999999998</v>
      </c>
      <c r="I306">
        <v>7</v>
      </c>
      <c r="J306">
        <v>329</v>
      </c>
      <c r="K306">
        <v>16.100000000000001</v>
      </c>
      <c r="L306">
        <v>395.75</v>
      </c>
      <c r="M306">
        <v>9.5</v>
      </c>
      <c r="N306">
        <v>22</v>
      </c>
      <c r="O306">
        <f t="shared" si="6"/>
        <v>28.942758712751079</v>
      </c>
      <c r="P306">
        <f>Table1[[#This Row],[medv]]-Table1[[#This Row],[pred_medv]]</f>
        <v>-6.942758712751079</v>
      </c>
      <c r="Q306">
        <f>IF(Table1[[#This Row],[medv]]=0, "Undefined", ABS((N306-O306)/N306))*100</f>
        <v>31.557994148868541</v>
      </c>
      <c r="V306">
        <v>249</v>
      </c>
      <c r="W306">
        <v>21.288313098470883</v>
      </c>
      <c r="X306">
        <v>3.2116869015291165</v>
      </c>
    </row>
    <row r="307" spans="1:24" x14ac:dyDescent="0.3">
      <c r="A307">
        <v>9.2660000000000006E-2</v>
      </c>
      <c r="B307">
        <v>34</v>
      </c>
      <c r="C307">
        <v>6.09</v>
      </c>
      <c r="D307">
        <v>0</v>
      </c>
      <c r="E307">
        <v>0.433</v>
      </c>
      <c r="F307">
        <v>6.4950000000000001</v>
      </c>
      <c r="G307">
        <v>18.399999999999999</v>
      </c>
      <c r="H307">
        <v>5.4916999999999998</v>
      </c>
      <c r="I307">
        <v>7</v>
      </c>
      <c r="J307">
        <v>329</v>
      </c>
      <c r="K307">
        <v>16.100000000000001</v>
      </c>
      <c r="L307">
        <v>383.61</v>
      </c>
      <c r="M307">
        <v>8.67</v>
      </c>
      <c r="N307">
        <v>26.4</v>
      </c>
      <c r="O307">
        <f t="shared" si="6"/>
        <v>28.881910224002358</v>
      </c>
      <c r="P307">
        <f>Table1[[#This Row],[medv]]-Table1[[#This Row],[pred_medv]]</f>
        <v>-2.4819102240023589</v>
      </c>
      <c r="Q307">
        <f>IF(Table1[[#This Row],[medv]]=0, "Undefined", ABS((N307-O307)/N307))*100</f>
        <v>9.4011750909180272</v>
      </c>
      <c r="V307">
        <v>250</v>
      </c>
      <c r="W307">
        <v>24.079891495763757</v>
      </c>
      <c r="X307">
        <v>2.1201085042362422</v>
      </c>
    </row>
    <row r="308" spans="1:24" x14ac:dyDescent="0.3">
      <c r="A308">
        <v>0.1</v>
      </c>
      <c r="B308">
        <v>34</v>
      </c>
      <c r="C308">
        <v>6.09</v>
      </c>
      <c r="D308">
        <v>0</v>
      </c>
      <c r="E308">
        <v>0.433</v>
      </c>
      <c r="F308">
        <v>6.9820000000000002</v>
      </c>
      <c r="G308">
        <v>17.7</v>
      </c>
      <c r="H308">
        <v>5.4916999999999998</v>
      </c>
      <c r="I308">
        <v>7</v>
      </c>
      <c r="J308">
        <v>329</v>
      </c>
      <c r="K308">
        <v>16.100000000000001</v>
      </c>
      <c r="L308">
        <v>390.43</v>
      </c>
      <c r="M308">
        <v>4.8600000000000003</v>
      </c>
      <c r="N308">
        <v>33.1</v>
      </c>
      <c r="O308">
        <f t="shared" si="6"/>
        <v>32.798872318660372</v>
      </c>
      <c r="P308">
        <f>Table1[[#This Row],[medv]]-Table1[[#This Row],[pred_medv]]</f>
        <v>0.30112768133962931</v>
      </c>
      <c r="Q308">
        <f>IF(Table1[[#This Row],[medv]]=0, "Undefined", ABS((N308-O308)/N308))*100</f>
        <v>0.90975130314087405</v>
      </c>
      <c r="V308">
        <v>251</v>
      </c>
      <c r="W308">
        <v>24.206335470024026</v>
      </c>
      <c r="X308">
        <v>0.1936645299759725</v>
      </c>
    </row>
    <row r="309" spans="1:24" x14ac:dyDescent="0.3">
      <c r="A309">
        <v>5.5149999999999998E-2</v>
      </c>
      <c r="B309">
        <v>33</v>
      </c>
      <c r="C309">
        <v>2.1800000000000002</v>
      </c>
      <c r="D309">
        <v>0</v>
      </c>
      <c r="E309">
        <v>0.47199999999999998</v>
      </c>
      <c r="F309">
        <v>7.2359999999999998</v>
      </c>
      <c r="G309">
        <v>41.1</v>
      </c>
      <c r="H309">
        <v>4.0220000000000002</v>
      </c>
      <c r="I309">
        <v>7</v>
      </c>
      <c r="J309">
        <v>222</v>
      </c>
      <c r="K309">
        <v>18.399999999999999</v>
      </c>
      <c r="L309">
        <v>393.68</v>
      </c>
      <c r="M309">
        <v>6.93</v>
      </c>
      <c r="N309">
        <v>36.1</v>
      </c>
      <c r="O309">
        <f t="shared" si="6"/>
        <v>33.209054559411484</v>
      </c>
      <c r="P309">
        <f>Table1[[#This Row],[medv]]-Table1[[#This Row],[pred_medv]]</f>
        <v>2.8909454405885171</v>
      </c>
      <c r="Q309">
        <f>IF(Table1[[#This Row],[medv]]=0, "Undefined", ABS((N309-O309)/N309))*100</f>
        <v>8.0081591152036484</v>
      </c>
      <c r="V309">
        <v>252</v>
      </c>
      <c r="W309">
        <v>25.042158212926797</v>
      </c>
      <c r="X309">
        <v>-0.24215821292679607</v>
      </c>
    </row>
    <row r="310" spans="1:24" x14ac:dyDescent="0.3">
      <c r="A310">
        <v>5.4789999999999998E-2</v>
      </c>
      <c r="B310">
        <v>33</v>
      </c>
      <c r="C310">
        <v>2.1800000000000002</v>
      </c>
      <c r="D310">
        <v>0</v>
      </c>
      <c r="E310">
        <v>0.47199999999999998</v>
      </c>
      <c r="F310">
        <v>6.6159999999999997</v>
      </c>
      <c r="G310">
        <v>58.1</v>
      </c>
      <c r="H310">
        <v>3.37</v>
      </c>
      <c r="I310">
        <v>7</v>
      </c>
      <c r="J310">
        <v>222</v>
      </c>
      <c r="K310">
        <v>18.399999999999999</v>
      </c>
      <c r="L310">
        <v>393.36</v>
      </c>
      <c r="M310">
        <v>8.93</v>
      </c>
      <c r="N310">
        <v>28.4</v>
      </c>
      <c r="O310">
        <f t="shared" si="6"/>
        <v>30.768317923137214</v>
      </c>
      <c r="P310">
        <f>Table1[[#This Row],[medv]]-Table1[[#This Row],[pred_medv]]</f>
        <v>-2.3683179231372158</v>
      </c>
      <c r="Q310">
        <f>IF(Table1[[#This Row],[medv]]=0, "Undefined", ABS((N310-O310)/N310))*100</f>
        <v>8.3391476166803375</v>
      </c>
      <c r="V310">
        <v>253</v>
      </c>
      <c r="W310">
        <v>24.919640070332118</v>
      </c>
      <c r="X310">
        <v>4.6803599296678833</v>
      </c>
    </row>
    <row r="311" spans="1:24" x14ac:dyDescent="0.3">
      <c r="A311">
        <v>7.5029999999999999E-2</v>
      </c>
      <c r="B311">
        <v>33</v>
      </c>
      <c r="C311">
        <v>2.1800000000000002</v>
      </c>
      <c r="D311">
        <v>0</v>
      </c>
      <c r="E311">
        <v>0.47199999999999998</v>
      </c>
      <c r="F311">
        <v>7.42</v>
      </c>
      <c r="G311">
        <v>71.900000000000006</v>
      </c>
      <c r="H311">
        <v>3.0992000000000002</v>
      </c>
      <c r="I311">
        <v>7</v>
      </c>
      <c r="J311">
        <v>222</v>
      </c>
      <c r="K311">
        <v>18.399999999999999</v>
      </c>
      <c r="L311">
        <v>396.9</v>
      </c>
      <c r="M311">
        <v>6.47</v>
      </c>
      <c r="N311">
        <v>33.4</v>
      </c>
      <c r="O311">
        <f t="shared" si="6"/>
        <v>35.562268569668248</v>
      </c>
      <c r="P311">
        <f>Table1[[#This Row],[medv]]-Table1[[#This Row],[pred_medv]]</f>
        <v>-2.1622685696682495</v>
      </c>
      <c r="Q311">
        <f>IF(Table1[[#This Row],[medv]]=0, "Undefined", ABS((N311-O311)/N311))*100</f>
        <v>6.4738579930187115</v>
      </c>
      <c r="V311">
        <v>254</v>
      </c>
      <c r="W311">
        <v>29.945633744800894</v>
      </c>
      <c r="X311">
        <v>12.854366255199103</v>
      </c>
    </row>
    <row r="312" spans="1:24" x14ac:dyDescent="0.3">
      <c r="A312">
        <v>4.9320000000000003E-2</v>
      </c>
      <c r="B312">
        <v>33</v>
      </c>
      <c r="C312">
        <v>2.1800000000000002</v>
      </c>
      <c r="D312">
        <v>0</v>
      </c>
      <c r="E312">
        <v>0.47199999999999998</v>
      </c>
      <c r="F312">
        <v>6.8490000000000002</v>
      </c>
      <c r="G312">
        <v>70.3</v>
      </c>
      <c r="H312">
        <v>3.1827000000000001</v>
      </c>
      <c r="I312">
        <v>7</v>
      </c>
      <c r="J312">
        <v>222</v>
      </c>
      <c r="K312">
        <v>18.399999999999999</v>
      </c>
      <c r="L312">
        <v>396.9</v>
      </c>
      <c r="M312">
        <v>7.53</v>
      </c>
      <c r="N312">
        <v>28.2</v>
      </c>
      <c r="O312">
        <f t="shared" si="6"/>
        <v>32.709051237031183</v>
      </c>
      <c r="P312">
        <f>Table1[[#This Row],[medv]]-Table1[[#This Row],[pred_medv]]</f>
        <v>-4.5090512370311835</v>
      </c>
      <c r="Q312">
        <f>IF(Table1[[#This Row],[medv]]=0, "Undefined", ABS((N312-O312)/N312))*100</f>
        <v>15.989543393727601</v>
      </c>
      <c r="V312">
        <v>255</v>
      </c>
      <c r="W312">
        <v>23.972283164977441</v>
      </c>
      <c r="X312">
        <v>-2.072283164977442</v>
      </c>
    </row>
    <row r="313" spans="1:24" x14ac:dyDescent="0.3">
      <c r="A313">
        <v>0.49297999999999997</v>
      </c>
      <c r="B313">
        <v>0</v>
      </c>
      <c r="C313">
        <v>9.9</v>
      </c>
      <c r="D313">
        <v>0</v>
      </c>
      <c r="E313">
        <v>0.54400000000000004</v>
      </c>
      <c r="F313">
        <v>6.6349999999999998</v>
      </c>
      <c r="G313">
        <v>82.5</v>
      </c>
      <c r="H313">
        <v>3.3174999999999999</v>
      </c>
      <c r="I313">
        <v>4</v>
      </c>
      <c r="J313">
        <v>304</v>
      </c>
      <c r="K313">
        <v>18.399999999999999</v>
      </c>
      <c r="L313">
        <v>396.9</v>
      </c>
      <c r="M313">
        <v>4.54</v>
      </c>
      <c r="N313">
        <v>22.8</v>
      </c>
      <c r="O313">
        <f t="shared" si="6"/>
        <v>28.642442366263793</v>
      </c>
      <c r="P313">
        <f>Table1[[#This Row],[medv]]-Table1[[#This Row],[pred_medv]]</f>
        <v>-5.8424423662637928</v>
      </c>
      <c r="Q313">
        <f>IF(Table1[[#This Row],[medv]]=0, "Undefined", ABS((N313-O313)/N313))*100</f>
        <v>25.62474722045523</v>
      </c>
      <c r="V313">
        <v>256</v>
      </c>
      <c r="W313">
        <v>21.695808865539629</v>
      </c>
      <c r="X313">
        <v>-0.79580886553963026</v>
      </c>
    </row>
    <row r="314" spans="1:24" x14ac:dyDescent="0.3">
      <c r="A314">
        <v>0.34939999999999999</v>
      </c>
      <c r="B314">
        <v>0</v>
      </c>
      <c r="C314">
        <v>9.9</v>
      </c>
      <c r="D314">
        <v>0</v>
      </c>
      <c r="E314">
        <v>0.54400000000000004</v>
      </c>
      <c r="F314">
        <v>5.9720000000000004</v>
      </c>
      <c r="G314">
        <v>76.7</v>
      </c>
      <c r="H314">
        <v>3.1025</v>
      </c>
      <c r="I314">
        <v>4</v>
      </c>
      <c r="J314">
        <v>304</v>
      </c>
      <c r="K314">
        <v>18.399999999999999</v>
      </c>
      <c r="L314">
        <v>396.24</v>
      </c>
      <c r="M314">
        <v>9.9700000000000006</v>
      </c>
      <c r="N314">
        <v>20.3</v>
      </c>
      <c r="O314">
        <f t="shared" si="6"/>
        <v>23.589658271081547</v>
      </c>
      <c r="P314">
        <f>Table1[[#This Row],[medv]]-Table1[[#This Row],[pred_medv]]</f>
        <v>-3.2896582710815458</v>
      </c>
      <c r="Q314">
        <f>IF(Table1[[#This Row],[medv]]=0, "Undefined", ABS((N314-O314)/N314))*100</f>
        <v>16.205213158037171</v>
      </c>
      <c r="V314">
        <v>257</v>
      </c>
      <c r="W314">
        <v>37.511092390232285</v>
      </c>
      <c r="X314">
        <v>6.4889076097677147</v>
      </c>
    </row>
    <row r="315" spans="1:24" x14ac:dyDescent="0.3">
      <c r="A315">
        <v>2.6354799999999998</v>
      </c>
      <c r="B315">
        <v>0</v>
      </c>
      <c r="C315">
        <v>9.9</v>
      </c>
      <c r="D315">
        <v>0</v>
      </c>
      <c r="E315">
        <v>0.54400000000000004</v>
      </c>
      <c r="F315">
        <v>4.9729999999999999</v>
      </c>
      <c r="G315">
        <v>37.799999999999997</v>
      </c>
      <c r="H315">
        <v>2.5194000000000001</v>
      </c>
      <c r="I315">
        <v>4</v>
      </c>
      <c r="J315">
        <v>304</v>
      </c>
      <c r="K315">
        <v>18.399999999999999</v>
      </c>
      <c r="L315">
        <v>350.45</v>
      </c>
      <c r="M315">
        <v>12.64</v>
      </c>
      <c r="N315">
        <v>16.100000000000001</v>
      </c>
      <c r="O315">
        <f t="shared" si="6"/>
        <v>18.542668967734528</v>
      </c>
      <c r="P315">
        <f>Table1[[#This Row],[medv]]-Table1[[#This Row],[pred_medv]]</f>
        <v>-2.4426689677345266</v>
      </c>
      <c r="Q315">
        <f>IF(Table1[[#This Row],[medv]]=0, "Undefined", ABS((N315-O315)/N315))*100</f>
        <v>15.171856942450473</v>
      </c>
      <c r="V315">
        <v>258</v>
      </c>
      <c r="W315">
        <v>43.302390426943226</v>
      </c>
      <c r="X315">
        <v>6.6976095730567735</v>
      </c>
    </row>
    <row r="316" spans="1:24" x14ac:dyDescent="0.3">
      <c r="A316">
        <v>0.79040999999999995</v>
      </c>
      <c r="B316">
        <v>0</v>
      </c>
      <c r="C316">
        <v>9.9</v>
      </c>
      <c r="D316">
        <v>0</v>
      </c>
      <c r="E316">
        <v>0.54400000000000004</v>
      </c>
      <c r="F316">
        <v>6.1219999999999999</v>
      </c>
      <c r="G316">
        <v>52.8</v>
      </c>
      <c r="H316">
        <v>2.6402999999999999</v>
      </c>
      <c r="I316">
        <v>4</v>
      </c>
      <c r="J316">
        <v>304</v>
      </c>
      <c r="K316">
        <v>18.399999999999999</v>
      </c>
      <c r="L316">
        <v>396.9</v>
      </c>
      <c r="M316">
        <v>5.98</v>
      </c>
      <c r="N316">
        <v>22.1</v>
      </c>
      <c r="O316">
        <f t="shared" si="6"/>
        <v>26.878898428919626</v>
      </c>
      <c r="P316">
        <f>Table1[[#This Row],[medv]]-Table1[[#This Row],[pred_medv]]</f>
        <v>-4.778898428919625</v>
      </c>
      <c r="Q316">
        <f>IF(Table1[[#This Row],[medv]]=0, "Undefined", ABS((N316-O316)/N316))*100</f>
        <v>21.623974791491516</v>
      </c>
      <c r="V316">
        <v>259</v>
      </c>
      <c r="W316">
        <v>36.483614205522173</v>
      </c>
      <c r="X316">
        <v>-0.48361420552217282</v>
      </c>
    </row>
    <row r="317" spans="1:24" x14ac:dyDescent="0.3">
      <c r="A317">
        <v>0.26168999999999998</v>
      </c>
      <c r="B317">
        <v>0</v>
      </c>
      <c r="C317">
        <v>9.9</v>
      </c>
      <c r="D317">
        <v>0</v>
      </c>
      <c r="E317">
        <v>0.54400000000000004</v>
      </c>
      <c r="F317">
        <v>6.0229999999999997</v>
      </c>
      <c r="G317">
        <v>90.4</v>
      </c>
      <c r="H317">
        <v>2.8340000000000001</v>
      </c>
      <c r="I317">
        <v>4</v>
      </c>
      <c r="J317">
        <v>304</v>
      </c>
      <c r="K317">
        <v>18.399999999999999</v>
      </c>
      <c r="L317">
        <v>396.3</v>
      </c>
      <c r="M317">
        <v>11.72</v>
      </c>
      <c r="N317">
        <v>19.399999999999999</v>
      </c>
      <c r="O317">
        <f t="shared" si="6"/>
        <v>23.281339788190383</v>
      </c>
      <c r="P317">
        <f>Table1[[#This Row],[medv]]-Table1[[#This Row],[pred_medv]]</f>
        <v>-3.8813397881903846</v>
      </c>
      <c r="Q317">
        <f>IF(Table1[[#This Row],[medv]]=0, "Undefined", ABS((N317-O317)/N317))*100</f>
        <v>20.006906124692705</v>
      </c>
      <c r="V317">
        <v>260</v>
      </c>
      <c r="W317">
        <v>34.989885935896375</v>
      </c>
      <c r="X317">
        <v>-4.8898859358963733</v>
      </c>
    </row>
    <row r="318" spans="1:24" x14ac:dyDescent="0.3">
      <c r="A318">
        <v>0.26938000000000001</v>
      </c>
      <c r="B318">
        <v>0</v>
      </c>
      <c r="C318">
        <v>9.9</v>
      </c>
      <c r="D318">
        <v>0</v>
      </c>
      <c r="E318">
        <v>0.54400000000000004</v>
      </c>
      <c r="F318">
        <v>6.266</v>
      </c>
      <c r="G318">
        <v>82.8</v>
      </c>
      <c r="H318">
        <v>3.2627999999999999</v>
      </c>
      <c r="I318">
        <v>4</v>
      </c>
      <c r="J318">
        <v>304</v>
      </c>
      <c r="K318">
        <v>18.399999999999999</v>
      </c>
      <c r="L318">
        <v>393.39</v>
      </c>
      <c r="M318">
        <v>7.9</v>
      </c>
      <c r="N318">
        <v>21.6</v>
      </c>
      <c r="O318">
        <f t="shared" si="6"/>
        <v>25.545802460524481</v>
      </c>
      <c r="P318">
        <f>Table1[[#This Row],[medv]]-Table1[[#This Row],[pred_medv]]</f>
        <v>-3.9458024605244795</v>
      </c>
      <c r="Q318">
        <f>IF(Table1[[#This Row],[medv]]=0, "Undefined", ABS((N318-O318)/N318))*100</f>
        <v>18.267603983909623</v>
      </c>
      <c r="V318">
        <v>261</v>
      </c>
      <c r="W318">
        <v>34.812115080615605</v>
      </c>
      <c r="X318">
        <v>-1.0121150806156081</v>
      </c>
    </row>
    <row r="319" spans="1:24" x14ac:dyDescent="0.3">
      <c r="A319">
        <v>0.36919999999999997</v>
      </c>
      <c r="B319">
        <v>0</v>
      </c>
      <c r="C319">
        <v>9.9</v>
      </c>
      <c r="D319">
        <v>0</v>
      </c>
      <c r="E319">
        <v>0.54400000000000004</v>
      </c>
      <c r="F319">
        <v>6.5670000000000002</v>
      </c>
      <c r="G319">
        <v>87.3</v>
      </c>
      <c r="H319">
        <v>3.6023000000000001</v>
      </c>
      <c r="I319">
        <v>4</v>
      </c>
      <c r="J319">
        <v>304</v>
      </c>
      <c r="K319">
        <v>18.399999999999999</v>
      </c>
      <c r="L319">
        <v>395.69</v>
      </c>
      <c r="M319">
        <v>9.2799999999999994</v>
      </c>
      <c r="N319">
        <v>23.8</v>
      </c>
      <c r="O319">
        <f t="shared" si="6"/>
        <v>25.481200570924202</v>
      </c>
      <c r="P319">
        <f>Table1[[#This Row],[medv]]-Table1[[#This Row],[pred_medv]]</f>
        <v>-1.6812005709242008</v>
      </c>
      <c r="Q319">
        <f>IF(Table1[[#This Row],[medv]]=0, "Undefined", ABS((N319-O319)/N319))*100</f>
        <v>7.0638679450596671</v>
      </c>
      <c r="V319">
        <v>262</v>
      </c>
      <c r="W319">
        <v>37.166313308351434</v>
      </c>
      <c r="X319">
        <v>5.9336866916485675</v>
      </c>
    </row>
    <row r="320" spans="1:24" x14ac:dyDescent="0.3">
      <c r="A320">
        <v>0.25356000000000001</v>
      </c>
      <c r="B320">
        <v>0</v>
      </c>
      <c r="C320">
        <v>9.9</v>
      </c>
      <c r="D320">
        <v>0</v>
      </c>
      <c r="E320">
        <v>0.54400000000000004</v>
      </c>
      <c r="F320">
        <v>5.7050000000000001</v>
      </c>
      <c r="G320">
        <v>77.7</v>
      </c>
      <c r="H320">
        <v>3.9449999999999998</v>
      </c>
      <c r="I320">
        <v>4</v>
      </c>
      <c r="J320">
        <v>304</v>
      </c>
      <c r="K320">
        <v>18.399999999999999</v>
      </c>
      <c r="L320">
        <v>396.42</v>
      </c>
      <c r="M320">
        <v>11.5</v>
      </c>
      <c r="N320">
        <v>16.2</v>
      </c>
      <c r="O320">
        <f t="shared" si="6"/>
        <v>20.539099011491079</v>
      </c>
      <c r="P320">
        <f>Table1[[#This Row],[medv]]-Table1[[#This Row],[pred_medv]]</f>
        <v>-4.3390990114910792</v>
      </c>
      <c r="Q320">
        <f>IF(Table1[[#This Row],[medv]]=0, "Undefined", ABS((N320-O320)/N320))*100</f>
        <v>26.784561799327651</v>
      </c>
      <c r="V320">
        <v>263</v>
      </c>
      <c r="W320">
        <v>40.98928500887795</v>
      </c>
      <c r="X320">
        <v>7.8107149911220475</v>
      </c>
    </row>
    <row r="321" spans="1:24" x14ac:dyDescent="0.3">
      <c r="A321">
        <v>0.31827</v>
      </c>
      <c r="B321">
        <v>0</v>
      </c>
      <c r="C321">
        <v>9.9</v>
      </c>
      <c r="D321">
        <v>0</v>
      </c>
      <c r="E321">
        <v>0.54400000000000004</v>
      </c>
      <c r="F321">
        <v>5.9139999999999997</v>
      </c>
      <c r="G321">
        <v>83.2</v>
      </c>
      <c r="H321">
        <v>3.9986000000000002</v>
      </c>
      <c r="I321">
        <v>4</v>
      </c>
      <c r="J321">
        <v>304</v>
      </c>
      <c r="K321">
        <v>18.399999999999999</v>
      </c>
      <c r="L321">
        <v>390.7</v>
      </c>
      <c r="M321">
        <v>18.329999999999998</v>
      </c>
      <c r="N321">
        <v>17.8</v>
      </c>
      <c r="O321">
        <f t="shared" si="6"/>
        <v>17.615725728267215</v>
      </c>
      <c r="P321">
        <f>Table1[[#This Row],[medv]]-Table1[[#This Row],[pred_medv]]</f>
        <v>0.18427427173278588</v>
      </c>
      <c r="Q321">
        <f>IF(Table1[[#This Row],[medv]]=0, "Undefined", ABS((N321-O321)/N321))*100</f>
        <v>1.0352487175999208</v>
      </c>
      <c r="V321">
        <v>264</v>
      </c>
      <c r="W321">
        <v>34.446340892853279</v>
      </c>
      <c r="X321">
        <v>-3.4463408928532786</v>
      </c>
    </row>
    <row r="322" spans="1:24" x14ac:dyDescent="0.3">
      <c r="A322">
        <v>0.24521999999999999</v>
      </c>
      <c r="B322">
        <v>0</v>
      </c>
      <c r="C322">
        <v>9.9</v>
      </c>
      <c r="D322">
        <v>0</v>
      </c>
      <c r="E322">
        <v>0.54400000000000004</v>
      </c>
      <c r="F322">
        <v>5.782</v>
      </c>
      <c r="G322">
        <v>71.7</v>
      </c>
      <c r="H322">
        <v>4.0316999999999998</v>
      </c>
      <c r="I322">
        <v>4</v>
      </c>
      <c r="J322">
        <v>304</v>
      </c>
      <c r="K322">
        <v>18.399999999999999</v>
      </c>
      <c r="L322">
        <v>396.9</v>
      </c>
      <c r="M322">
        <v>15.94</v>
      </c>
      <c r="N322">
        <v>19.8</v>
      </c>
      <c r="O322">
        <f t="shared" si="6"/>
        <v>18.375816864077187</v>
      </c>
      <c r="P322">
        <f>Table1[[#This Row],[medv]]-Table1[[#This Row],[pred_medv]]</f>
        <v>1.4241831359228136</v>
      </c>
      <c r="Q322">
        <f>IF(Table1[[#This Row],[medv]]=0, "Undefined", ABS((N322-O322)/N322))*100</f>
        <v>7.1928441208222909</v>
      </c>
      <c r="V322">
        <v>265</v>
      </c>
      <c r="W322">
        <v>35.833975468616956</v>
      </c>
      <c r="X322">
        <v>0.6660245313830444</v>
      </c>
    </row>
    <row r="323" spans="1:24" x14ac:dyDescent="0.3">
      <c r="A323">
        <v>0.40201999999999999</v>
      </c>
      <c r="B323">
        <v>0</v>
      </c>
      <c r="C323">
        <v>9.9</v>
      </c>
      <c r="D323">
        <v>0</v>
      </c>
      <c r="E323">
        <v>0.54400000000000004</v>
      </c>
      <c r="F323">
        <v>6.3819999999999997</v>
      </c>
      <c r="G323">
        <v>67.2</v>
      </c>
      <c r="H323">
        <v>3.5325000000000002</v>
      </c>
      <c r="I323">
        <v>4</v>
      </c>
      <c r="J323">
        <v>304</v>
      </c>
      <c r="K323">
        <v>18.399999999999999</v>
      </c>
      <c r="L323">
        <v>395.21</v>
      </c>
      <c r="M323">
        <v>10.36</v>
      </c>
      <c r="N323">
        <v>23.1</v>
      </c>
      <c r="O323">
        <f t="shared" si="6"/>
        <v>24.290702769396916</v>
      </c>
      <c r="P323">
        <f>Table1[[#This Row],[medv]]-Table1[[#This Row],[pred_medv]]</f>
        <v>-1.1907027693969141</v>
      </c>
      <c r="Q323">
        <f>IF(Table1[[#This Row],[medv]]=0, "Undefined", ABS((N323-O323)/N323))*100</f>
        <v>5.1545574432766843</v>
      </c>
      <c r="V323">
        <v>266</v>
      </c>
      <c r="W323">
        <v>28.245742999329245</v>
      </c>
      <c r="X323">
        <v>-5.4457429993292443</v>
      </c>
    </row>
    <row r="324" spans="1:24" x14ac:dyDescent="0.3">
      <c r="A324">
        <v>0.47547</v>
      </c>
      <c r="B324">
        <v>0</v>
      </c>
      <c r="C324">
        <v>9.9</v>
      </c>
      <c r="D324">
        <v>0</v>
      </c>
      <c r="E324">
        <v>0.54400000000000004</v>
      </c>
      <c r="F324">
        <v>6.1130000000000004</v>
      </c>
      <c r="G324">
        <v>58.8</v>
      </c>
      <c r="H324">
        <v>4.0019</v>
      </c>
      <c r="I324">
        <v>4</v>
      </c>
      <c r="J324">
        <v>304</v>
      </c>
      <c r="K324">
        <v>18.399999999999999</v>
      </c>
      <c r="L324">
        <v>396.23</v>
      </c>
      <c r="M324">
        <v>12.73</v>
      </c>
      <c r="N324">
        <v>21</v>
      </c>
      <c r="O324">
        <f t="shared" si="6"/>
        <v>21.325290391650238</v>
      </c>
      <c r="P324">
        <f>Table1[[#This Row],[medv]]-Table1[[#This Row],[pred_medv]]</f>
        <v>-0.32529039165023832</v>
      </c>
      <c r="Q324">
        <f>IF(Table1[[#This Row],[medv]]=0, "Undefined", ABS((N324-O324)/N324))*100</f>
        <v>1.5490018650011348</v>
      </c>
      <c r="V324">
        <v>267</v>
      </c>
      <c r="W324">
        <v>31.226735925933234</v>
      </c>
      <c r="X324">
        <v>-0.52673592593323448</v>
      </c>
    </row>
    <row r="325" spans="1:24" x14ac:dyDescent="0.3">
      <c r="A325">
        <v>0.1676</v>
      </c>
      <c r="B325">
        <v>0</v>
      </c>
      <c r="C325">
        <v>7.38</v>
      </c>
      <c r="D325">
        <v>0</v>
      </c>
      <c r="E325">
        <v>0.49299999999999999</v>
      </c>
      <c r="F325">
        <v>6.4260000000000002</v>
      </c>
      <c r="G325">
        <v>52.3</v>
      </c>
      <c r="H325">
        <v>4.5404</v>
      </c>
      <c r="I325">
        <v>5</v>
      </c>
      <c r="J325">
        <v>287</v>
      </c>
      <c r="K325">
        <v>19.600000000000001</v>
      </c>
      <c r="L325">
        <v>396.9</v>
      </c>
      <c r="M325">
        <v>7.2</v>
      </c>
      <c r="N325">
        <v>23.8</v>
      </c>
      <c r="O325">
        <f t="shared" ref="O325:O388" si="7">A$2+SUMPRODUCT(B$2:N$2, A325:M325)</f>
        <v>24.886822440651535</v>
      </c>
      <c r="P325">
        <f>Table1[[#This Row],[medv]]-Table1[[#This Row],[pred_medv]]</f>
        <v>-1.0868224406515345</v>
      </c>
      <c r="Q325">
        <f>IF(Table1[[#This Row],[medv]]=0, "Undefined", ABS((N325-O325)/N325))*100</f>
        <v>4.5664808430736743</v>
      </c>
      <c r="V325">
        <v>268</v>
      </c>
      <c r="W325">
        <v>40.839557496249789</v>
      </c>
      <c r="X325">
        <v>9.1604425037502111</v>
      </c>
    </row>
    <row r="326" spans="1:24" x14ac:dyDescent="0.3">
      <c r="A326">
        <v>0.18159</v>
      </c>
      <c r="B326">
        <v>0</v>
      </c>
      <c r="C326">
        <v>7.38</v>
      </c>
      <c r="D326">
        <v>0</v>
      </c>
      <c r="E326">
        <v>0.49299999999999999</v>
      </c>
      <c r="F326">
        <v>6.3760000000000003</v>
      </c>
      <c r="G326">
        <v>54.3</v>
      </c>
      <c r="H326">
        <v>4.5404</v>
      </c>
      <c r="I326">
        <v>5</v>
      </c>
      <c r="J326">
        <v>287</v>
      </c>
      <c r="K326">
        <v>19.600000000000001</v>
      </c>
      <c r="L326">
        <v>396.9</v>
      </c>
      <c r="M326">
        <v>6.87</v>
      </c>
      <c r="N326">
        <v>23.1</v>
      </c>
      <c r="O326">
        <f t="shared" si="7"/>
        <v>24.869372815387941</v>
      </c>
      <c r="P326">
        <f>Table1[[#This Row],[medv]]-Table1[[#This Row],[pred_medv]]</f>
        <v>-1.7693728153879391</v>
      </c>
      <c r="Q326">
        <f>IF(Table1[[#This Row],[medv]]=0, "Undefined", ABS((N326-O326)/N326))*100</f>
        <v>7.6596225774369655</v>
      </c>
      <c r="V326">
        <v>269</v>
      </c>
      <c r="W326">
        <v>39.317923930798329</v>
      </c>
      <c r="X326">
        <v>4.1820760692016705</v>
      </c>
    </row>
    <row r="327" spans="1:24" x14ac:dyDescent="0.3">
      <c r="A327">
        <v>0.35114000000000001</v>
      </c>
      <c r="B327">
        <v>0</v>
      </c>
      <c r="C327">
        <v>7.38</v>
      </c>
      <c r="D327">
        <v>0</v>
      </c>
      <c r="E327">
        <v>0.49299999999999999</v>
      </c>
      <c r="F327">
        <v>6.0410000000000004</v>
      </c>
      <c r="G327">
        <v>49.9</v>
      </c>
      <c r="H327">
        <v>4.7210999999999999</v>
      </c>
      <c r="I327">
        <v>5</v>
      </c>
      <c r="J327">
        <v>287</v>
      </c>
      <c r="K327">
        <v>19.600000000000001</v>
      </c>
      <c r="L327">
        <v>396.9</v>
      </c>
      <c r="M327">
        <v>7.7</v>
      </c>
      <c r="N327">
        <v>20.399999999999999</v>
      </c>
      <c r="O327">
        <f t="shared" si="7"/>
        <v>22.86952447434809</v>
      </c>
      <c r="P327">
        <f>Table1[[#This Row],[medv]]-Table1[[#This Row],[pred_medv]]</f>
        <v>-2.4695244743480913</v>
      </c>
      <c r="Q327">
        <f>IF(Table1[[#This Row],[medv]]=0, "Undefined", ABS((N327-O327)/N327))*100</f>
        <v>12.105512129157312</v>
      </c>
      <c r="V327">
        <v>270</v>
      </c>
      <c r="W327">
        <v>25.708179052263748</v>
      </c>
      <c r="X327">
        <v>-5.008179052263749</v>
      </c>
    </row>
    <row r="328" spans="1:24" x14ac:dyDescent="0.3">
      <c r="A328">
        <v>0.28392000000000001</v>
      </c>
      <c r="B328">
        <v>0</v>
      </c>
      <c r="C328">
        <v>7.38</v>
      </c>
      <c r="D328">
        <v>0</v>
      </c>
      <c r="E328">
        <v>0.49299999999999999</v>
      </c>
      <c r="F328">
        <v>5.7080000000000002</v>
      </c>
      <c r="G328">
        <v>74.3</v>
      </c>
      <c r="H328">
        <v>4.7210999999999999</v>
      </c>
      <c r="I328">
        <v>5</v>
      </c>
      <c r="J328">
        <v>287</v>
      </c>
      <c r="K328">
        <v>19.600000000000001</v>
      </c>
      <c r="L328">
        <v>391.13</v>
      </c>
      <c r="M328">
        <v>11.74</v>
      </c>
      <c r="N328">
        <v>18.5</v>
      </c>
      <c r="O328">
        <f t="shared" si="7"/>
        <v>19.451237906152848</v>
      </c>
      <c r="P328">
        <f>Table1[[#This Row],[medv]]-Table1[[#This Row],[pred_medv]]</f>
        <v>-0.95123790615284776</v>
      </c>
      <c r="Q328">
        <f>IF(Table1[[#This Row],[medv]]=0, "Undefined", ABS((N328-O328)/N328))*100</f>
        <v>5.1418265197451225</v>
      </c>
      <c r="V328">
        <v>271</v>
      </c>
      <c r="W328">
        <v>22.302955329512862</v>
      </c>
      <c r="X328">
        <v>-1.2029553295128608</v>
      </c>
    </row>
    <row r="329" spans="1:24" x14ac:dyDescent="0.3">
      <c r="A329">
        <v>0.34109</v>
      </c>
      <c r="B329">
        <v>0</v>
      </c>
      <c r="C329">
        <v>7.38</v>
      </c>
      <c r="D329">
        <v>0</v>
      </c>
      <c r="E329">
        <v>0.49299999999999999</v>
      </c>
      <c r="F329">
        <v>6.415</v>
      </c>
      <c r="G329">
        <v>40.1</v>
      </c>
      <c r="H329">
        <v>4.7210999999999999</v>
      </c>
      <c r="I329">
        <v>5</v>
      </c>
      <c r="J329">
        <v>287</v>
      </c>
      <c r="K329">
        <v>19.600000000000001</v>
      </c>
      <c r="L329">
        <v>396.9</v>
      </c>
      <c r="M329">
        <v>6.12</v>
      </c>
      <c r="N329">
        <v>25</v>
      </c>
      <c r="O329">
        <f t="shared" si="7"/>
        <v>25.11783401137729</v>
      </c>
      <c r="P329">
        <f>Table1[[#This Row],[medv]]-Table1[[#This Row],[pred_medv]]</f>
        <v>-0.11783401137729044</v>
      </c>
      <c r="Q329">
        <f>IF(Table1[[#This Row],[medv]]=0, "Undefined", ABS((N329-O329)/N329))*100</f>
        <v>0.47133604550916181</v>
      </c>
      <c r="V329">
        <v>272</v>
      </c>
      <c r="W329">
        <v>27.203409718860733</v>
      </c>
      <c r="X329">
        <v>-2.003409718860734</v>
      </c>
    </row>
    <row r="330" spans="1:24" x14ac:dyDescent="0.3">
      <c r="A330">
        <v>0.19186</v>
      </c>
      <c r="B330">
        <v>0</v>
      </c>
      <c r="C330">
        <v>7.38</v>
      </c>
      <c r="D330">
        <v>0</v>
      </c>
      <c r="E330">
        <v>0.49299999999999999</v>
      </c>
      <c r="F330">
        <v>6.431</v>
      </c>
      <c r="G330">
        <v>14.7</v>
      </c>
      <c r="H330">
        <v>5.4158999999999997</v>
      </c>
      <c r="I330">
        <v>5</v>
      </c>
      <c r="J330">
        <v>287</v>
      </c>
      <c r="K330">
        <v>19.600000000000001</v>
      </c>
      <c r="L330">
        <v>393.68</v>
      </c>
      <c r="M330">
        <v>5.08</v>
      </c>
      <c r="N330">
        <v>24.6</v>
      </c>
      <c r="O330">
        <f t="shared" si="7"/>
        <v>24.667869132256509</v>
      </c>
      <c r="P330">
        <f>Table1[[#This Row],[medv]]-Table1[[#This Row],[pred_medv]]</f>
        <v>-6.7869132256507925E-2</v>
      </c>
      <c r="Q330">
        <f>IF(Table1[[#This Row],[medv]]=0, "Undefined", ABS((N330-O330)/N330))*100</f>
        <v>0.27589078153052005</v>
      </c>
      <c r="V330">
        <v>273</v>
      </c>
      <c r="W330">
        <v>28.511694720069428</v>
      </c>
      <c r="X330">
        <v>-4.1116947200694298</v>
      </c>
    </row>
    <row r="331" spans="1:24" x14ac:dyDescent="0.3">
      <c r="A331">
        <v>0.30347000000000002</v>
      </c>
      <c r="B331">
        <v>0</v>
      </c>
      <c r="C331">
        <v>7.38</v>
      </c>
      <c r="D331">
        <v>0</v>
      </c>
      <c r="E331">
        <v>0.49299999999999999</v>
      </c>
      <c r="F331">
        <v>6.3120000000000003</v>
      </c>
      <c r="G331">
        <v>28.9</v>
      </c>
      <c r="H331">
        <v>5.4158999999999997</v>
      </c>
      <c r="I331">
        <v>5</v>
      </c>
      <c r="J331">
        <v>287</v>
      </c>
      <c r="K331">
        <v>19.600000000000001</v>
      </c>
      <c r="L331">
        <v>396.9</v>
      </c>
      <c r="M331">
        <v>6.15</v>
      </c>
      <c r="N331">
        <v>23</v>
      </c>
      <c r="O331">
        <f t="shared" si="7"/>
        <v>23.680761770727187</v>
      </c>
      <c r="P331">
        <f>Table1[[#This Row],[medv]]-Table1[[#This Row],[pred_medv]]</f>
        <v>-0.68076177072718735</v>
      </c>
      <c r="Q331">
        <f>IF(Table1[[#This Row],[medv]]=0, "Undefined", ABS((N331-O331)/N331))*100</f>
        <v>2.95983378577038</v>
      </c>
      <c r="V331">
        <v>274</v>
      </c>
      <c r="W331">
        <v>35.476765982320323</v>
      </c>
      <c r="X331">
        <v>-0.27676598232032035</v>
      </c>
    </row>
    <row r="332" spans="1:24" x14ac:dyDescent="0.3">
      <c r="A332">
        <v>0.24102999999999999</v>
      </c>
      <c r="B332">
        <v>0</v>
      </c>
      <c r="C332">
        <v>7.38</v>
      </c>
      <c r="D332">
        <v>0</v>
      </c>
      <c r="E332">
        <v>0.49299999999999999</v>
      </c>
      <c r="F332">
        <v>6.0830000000000002</v>
      </c>
      <c r="G332">
        <v>43.7</v>
      </c>
      <c r="H332">
        <v>5.4158999999999997</v>
      </c>
      <c r="I332">
        <v>5</v>
      </c>
      <c r="J332">
        <v>287</v>
      </c>
      <c r="K332">
        <v>19.600000000000001</v>
      </c>
      <c r="L332">
        <v>396.9</v>
      </c>
      <c r="M332">
        <v>12.79</v>
      </c>
      <c r="N332">
        <v>22.2</v>
      </c>
      <c r="O332">
        <f t="shared" si="7"/>
        <v>19.340896163267853</v>
      </c>
      <c r="P332">
        <f>Table1[[#This Row],[medv]]-Table1[[#This Row],[pred_medv]]</f>
        <v>2.859103836732146</v>
      </c>
      <c r="Q332">
        <f>IF(Table1[[#This Row],[medv]]=0, "Undefined", ABS((N332-O332)/N332))*100</f>
        <v>12.878846111406064</v>
      </c>
      <c r="V332">
        <v>275</v>
      </c>
      <c r="W332">
        <v>36.106391643322326</v>
      </c>
      <c r="X332">
        <v>-3.706391643322327</v>
      </c>
    </row>
    <row r="333" spans="1:24" x14ac:dyDescent="0.3">
      <c r="A333">
        <v>6.6170000000000007E-2</v>
      </c>
      <c r="B333">
        <v>0</v>
      </c>
      <c r="C333">
        <v>3.24</v>
      </c>
      <c r="D333">
        <v>0</v>
      </c>
      <c r="E333">
        <v>0.46</v>
      </c>
      <c r="F333">
        <v>5.8680000000000003</v>
      </c>
      <c r="G333">
        <v>25.8</v>
      </c>
      <c r="H333">
        <v>5.2145999999999999</v>
      </c>
      <c r="I333">
        <v>4</v>
      </c>
      <c r="J333">
        <v>430</v>
      </c>
      <c r="K333">
        <v>16.899999999999999</v>
      </c>
      <c r="L333">
        <v>382.44</v>
      </c>
      <c r="M333">
        <v>9.9700000000000006</v>
      </c>
      <c r="N333">
        <v>19.3</v>
      </c>
      <c r="O333">
        <f t="shared" si="7"/>
        <v>21.174181054134372</v>
      </c>
      <c r="P333">
        <f>Table1[[#This Row],[medv]]-Table1[[#This Row],[pred_medv]]</f>
        <v>-1.8741810541343717</v>
      </c>
      <c r="Q333">
        <f>IF(Table1[[#This Row],[medv]]=0, "Undefined", ABS((N333-O333)/N333))*100</f>
        <v>9.7107826639086614</v>
      </c>
      <c r="V333">
        <v>276</v>
      </c>
      <c r="W333">
        <v>33.796682735210354</v>
      </c>
      <c r="X333">
        <v>-1.7966827352103536</v>
      </c>
    </row>
    <row r="334" spans="1:24" x14ac:dyDescent="0.3">
      <c r="A334">
        <v>6.7239999999999994E-2</v>
      </c>
      <c r="B334">
        <v>0</v>
      </c>
      <c r="C334">
        <v>3.24</v>
      </c>
      <c r="D334">
        <v>0</v>
      </c>
      <c r="E334">
        <v>0.46</v>
      </c>
      <c r="F334">
        <v>6.3330000000000002</v>
      </c>
      <c r="G334">
        <v>17.2</v>
      </c>
      <c r="H334">
        <v>5.2145999999999999</v>
      </c>
      <c r="I334">
        <v>4</v>
      </c>
      <c r="J334">
        <v>430</v>
      </c>
      <c r="K334">
        <v>16.899999999999999</v>
      </c>
      <c r="L334">
        <v>375.21</v>
      </c>
      <c r="M334">
        <v>7.34</v>
      </c>
      <c r="N334">
        <v>22.6</v>
      </c>
      <c r="O334">
        <f t="shared" si="7"/>
        <v>24.252490734931222</v>
      </c>
      <c r="P334">
        <f>Table1[[#This Row],[medv]]-Table1[[#This Row],[pred_medv]]</f>
        <v>-1.6524907349312201</v>
      </c>
      <c r="Q334">
        <f>IF(Table1[[#This Row],[medv]]=0, "Undefined", ABS((N334-O334)/N334))*100</f>
        <v>7.3119059067753094</v>
      </c>
      <c r="V334">
        <v>277</v>
      </c>
      <c r="W334">
        <v>35.61085857940386</v>
      </c>
      <c r="X334">
        <v>-2.4108585794038575</v>
      </c>
    </row>
    <row r="335" spans="1:24" x14ac:dyDescent="0.3">
      <c r="A335">
        <v>4.5440000000000001E-2</v>
      </c>
      <c r="B335">
        <v>0</v>
      </c>
      <c r="C335">
        <v>3.24</v>
      </c>
      <c r="D335">
        <v>0</v>
      </c>
      <c r="E335">
        <v>0.46</v>
      </c>
      <c r="F335">
        <v>6.1440000000000001</v>
      </c>
      <c r="G335">
        <v>32.200000000000003</v>
      </c>
      <c r="H335">
        <v>5.8735999999999997</v>
      </c>
      <c r="I335">
        <v>4</v>
      </c>
      <c r="J335">
        <v>430</v>
      </c>
      <c r="K335">
        <v>16.899999999999999</v>
      </c>
      <c r="L335">
        <v>368.57</v>
      </c>
      <c r="M335">
        <v>9.09</v>
      </c>
      <c r="N335">
        <v>19.8</v>
      </c>
      <c r="O335">
        <f t="shared" si="7"/>
        <v>21.592608938614617</v>
      </c>
      <c r="P335">
        <f>Table1[[#This Row],[medv]]-Table1[[#This Row],[pred_medv]]</f>
        <v>-1.7926089386146167</v>
      </c>
      <c r="Q335">
        <f>IF(Table1[[#This Row],[medv]]=0, "Undefined", ABS((N335-O335)/N335))*100</f>
        <v>9.0535804980536199</v>
      </c>
      <c r="V335">
        <v>278</v>
      </c>
      <c r="W335">
        <v>34.839933819424317</v>
      </c>
      <c r="X335">
        <v>-1.7399338194243157</v>
      </c>
    </row>
    <row r="336" spans="1:24" x14ac:dyDescent="0.3">
      <c r="A336">
        <v>5.0229999999999997E-2</v>
      </c>
      <c r="B336">
        <v>35</v>
      </c>
      <c r="C336">
        <v>6.06</v>
      </c>
      <c r="D336">
        <v>0</v>
      </c>
      <c r="E336">
        <v>0.43790000000000001</v>
      </c>
      <c r="F336">
        <v>5.7060000000000004</v>
      </c>
      <c r="G336">
        <v>28.4</v>
      </c>
      <c r="H336">
        <v>6.6406999999999998</v>
      </c>
      <c r="I336">
        <v>1</v>
      </c>
      <c r="J336">
        <v>304</v>
      </c>
      <c r="K336">
        <v>16.899999999999999</v>
      </c>
      <c r="L336">
        <v>394.02</v>
      </c>
      <c r="M336">
        <v>12.43</v>
      </c>
      <c r="N336">
        <v>17.100000000000001</v>
      </c>
      <c r="O336">
        <f t="shared" si="7"/>
        <v>19.984466053889896</v>
      </c>
      <c r="P336">
        <f>Table1[[#This Row],[medv]]-Table1[[#This Row],[pred_medv]]</f>
        <v>-2.884466053889895</v>
      </c>
      <c r="Q336">
        <f>IF(Table1[[#This Row],[medv]]=0, "Undefined", ABS((N336-O336)/N336))*100</f>
        <v>16.868222537367807</v>
      </c>
      <c r="V336">
        <v>279</v>
      </c>
      <c r="W336">
        <v>30.351926557923694</v>
      </c>
      <c r="X336">
        <v>-1.2519265579236922</v>
      </c>
    </row>
    <row r="337" spans="1:24" x14ac:dyDescent="0.3">
      <c r="A337">
        <v>3.4660000000000003E-2</v>
      </c>
      <c r="B337">
        <v>35</v>
      </c>
      <c r="C337">
        <v>6.06</v>
      </c>
      <c r="D337">
        <v>0</v>
      </c>
      <c r="E337">
        <v>0.43790000000000001</v>
      </c>
      <c r="F337">
        <v>6.0309999999999997</v>
      </c>
      <c r="G337">
        <v>23.3</v>
      </c>
      <c r="H337">
        <v>6.6406999999999998</v>
      </c>
      <c r="I337">
        <v>1</v>
      </c>
      <c r="J337">
        <v>304</v>
      </c>
      <c r="K337">
        <v>16.899999999999999</v>
      </c>
      <c r="L337">
        <v>362.25</v>
      </c>
      <c r="M337">
        <v>7.83</v>
      </c>
      <c r="N337">
        <v>19.399999999999999</v>
      </c>
      <c r="O337">
        <f t="shared" si="7"/>
        <v>23.338879997805474</v>
      </c>
      <c r="P337">
        <f>Table1[[#This Row],[medv]]-Table1[[#This Row],[pred_medv]]</f>
        <v>-3.9388799978054756</v>
      </c>
      <c r="Q337">
        <f>IF(Table1[[#This Row],[medv]]=0, "Undefined", ABS((N337-O337)/N337))*100</f>
        <v>20.303505143327193</v>
      </c>
      <c r="V337">
        <v>280</v>
      </c>
      <c r="W337">
        <v>35.30980700948141</v>
      </c>
      <c r="X337">
        <v>-0.20980700948140907</v>
      </c>
    </row>
    <row r="338" spans="1:24" x14ac:dyDescent="0.3">
      <c r="A338">
        <v>5.083E-2</v>
      </c>
      <c r="B338">
        <v>0</v>
      </c>
      <c r="C338">
        <v>5.19</v>
      </c>
      <c r="D338">
        <v>0</v>
      </c>
      <c r="E338">
        <v>0.51500000000000001</v>
      </c>
      <c r="F338">
        <v>6.3159999999999998</v>
      </c>
      <c r="G338">
        <v>38.1</v>
      </c>
      <c r="H338">
        <v>6.4584000000000001</v>
      </c>
      <c r="I338">
        <v>5</v>
      </c>
      <c r="J338">
        <v>224</v>
      </c>
      <c r="K338">
        <v>20.2</v>
      </c>
      <c r="L338">
        <v>389.71</v>
      </c>
      <c r="M338">
        <v>5.68</v>
      </c>
      <c r="N338">
        <v>22.2</v>
      </c>
      <c r="O338">
        <f t="shared" si="7"/>
        <v>22.14060692495805</v>
      </c>
      <c r="P338">
        <f>Table1[[#This Row],[medv]]-Table1[[#This Row],[pred_medv]]</f>
        <v>5.9393075041949572E-2</v>
      </c>
      <c r="Q338">
        <f>IF(Table1[[#This Row],[medv]]=0, "Undefined", ABS((N338-O338)/N338))*100</f>
        <v>0.26753637406283592</v>
      </c>
      <c r="V338">
        <v>281</v>
      </c>
      <c r="W338">
        <v>38.797569659886783</v>
      </c>
      <c r="X338">
        <v>6.6024303401132158</v>
      </c>
    </row>
    <row r="339" spans="1:24" x14ac:dyDescent="0.3">
      <c r="A339">
        <v>3.7379999999999997E-2</v>
      </c>
      <c r="B339">
        <v>0</v>
      </c>
      <c r="C339">
        <v>5.19</v>
      </c>
      <c r="D339">
        <v>0</v>
      </c>
      <c r="E339">
        <v>0.51500000000000001</v>
      </c>
      <c r="F339">
        <v>6.31</v>
      </c>
      <c r="G339">
        <v>38.5</v>
      </c>
      <c r="H339">
        <v>6.4584000000000001</v>
      </c>
      <c r="I339">
        <v>5</v>
      </c>
      <c r="J339">
        <v>224</v>
      </c>
      <c r="K339">
        <v>20.2</v>
      </c>
      <c r="L339">
        <v>389.4</v>
      </c>
      <c r="M339">
        <v>6.75</v>
      </c>
      <c r="N339">
        <v>20.7</v>
      </c>
      <c r="O339">
        <f t="shared" si="7"/>
        <v>21.555099290215988</v>
      </c>
      <c r="P339">
        <f>Table1[[#This Row],[medv]]-Table1[[#This Row],[pred_medv]]</f>
        <v>-0.85509929021598907</v>
      </c>
      <c r="Q339">
        <f>IF(Table1[[#This Row],[medv]]=0, "Undefined", ABS((N339-O339)/N339))*100</f>
        <v>4.1309144454878703</v>
      </c>
      <c r="V339">
        <v>282</v>
      </c>
      <c r="W339">
        <v>34.331231859586346</v>
      </c>
      <c r="X339">
        <v>1.0687681404136526</v>
      </c>
    </row>
    <row r="340" spans="1:24" x14ac:dyDescent="0.3">
      <c r="A340">
        <v>3.9609999999999999E-2</v>
      </c>
      <c r="B340">
        <v>0</v>
      </c>
      <c r="C340">
        <v>5.19</v>
      </c>
      <c r="D340">
        <v>0</v>
      </c>
      <c r="E340">
        <v>0.51500000000000001</v>
      </c>
      <c r="F340">
        <v>6.0369999999999999</v>
      </c>
      <c r="G340">
        <v>34.5</v>
      </c>
      <c r="H340">
        <v>5.9852999999999996</v>
      </c>
      <c r="I340">
        <v>5</v>
      </c>
      <c r="J340">
        <v>224</v>
      </c>
      <c r="K340">
        <v>20.2</v>
      </c>
      <c r="L340">
        <v>396.9</v>
      </c>
      <c r="M340">
        <v>8.01</v>
      </c>
      <c r="N340">
        <v>21.1</v>
      </c>
      <c r="O340">
        <f t="shared" si="7"/>
        <v>20.618729067976737</v>
      </c>
      <c r="P340">
        <f>Table1[[#This Row],[medv]]-Table1[[#This Row],[pred_medv]]</f>
        <v>0.48127093202326421</v>
      </c>
      <c r="Q340">
        <f>IF(Table1[[#This Row],[medv]]=0, "Undefined", ABS((N340-O340)/N340))*100</f>
        <v>2.2809048911055174</v>
      </c>
      <c r="V340">
        <v>283</v>
      </c>
      <c r="W340">
        <v>40.339630747748068</v>
      </c>
      <c r="X340">
        <v>5.6603692522519324</v>
      </c>
    </row>
    <row r="341" spans="1:24" x14ac:dyDescent="0.3">
      <c r="A341">
        <v>3.4270000000000002E-2</v>
      </c>
      <c r="B341">
        <v>0</v>
      </c>
      <c r="C341">
        <v>5.19</v>
      </c>
      <c r="D341">
        <v>0</v>
      </c>
      <c r="E341">
        <v>0.51500000000000001</v>
      </c>
      <c r="F341">
        <v>5.8689999999999998</v>
      </c>
      <c r="G341">
        <v>46.3</v>
      </c>
      <c r="H341">
        <v>5.2310999999999996</v>
      </c>
      <c r="I341">
        <v>5</v>
      </c>
      <c r="J341">
        <v>224</v>
      </c>
      <c r="K341">
        <v>20.2</v>
      </c>
      <c r="L341">
        <v>396.9</v>
      </c>
      <c r="M341">
        <v>9.8000000000000007</v>
      </c>
      <c r="N341">
        <v>19.5</v>
      </c>
      <c r="O341">
        <f t="shared" si="7"/>
        <v>20.160971763230087</v>
      </c>
      <c r="P341">
        <f>Table1[[#This Row],[medv]]-Table1[[#This Row],[pred_medv]]</f>
        <v>-0.66097176323008711</v>
      </c>
      <c r="Q341">
        <f>IF(Table1[[#This Row],[medv]]=0, "Undefined", ABS((N341-O341)/N341))*100</f>
        <v>3.3895987857953185</v>
      </c>
      <c r="V341">
        <v>284</v>
      </c>
      <c r="W341">
        <v>44.67308338731317</v>
      </c>
      <c r="X341">
        <v>5.3269166126868299</v>
      </c>
    </row>
    <row r="342" spans="1:24" x14ac:dyDescent="0.3">
      <c r="A342">
        <v>3.041E-2</v>
      </c>
      <c r="B342">
        <v>0</v>
      </c>
      <c r="C342">
        <v>5.19</v>
      </c>
      <c r="D342">
        <v>0</v>
      </c>
      <c r="E342">
        <v>0.51500000000000001</v>
      </c>
      <c r="F342">
        <v>5.8949999999999996</v>
      </c>
      <c r="G342">
        <v>59.6</v>
      </c>
      <c r="H342">
        <v>5.6150000000000002</v>
      </c>
      <c r="I342">
        <v>5</v>
      </c>
      <c r="J342">
        <v>224</v>
      </c>
      <c r="K342">
        <v>20.2</v>
      </c>
      <c r="L342">
        <v>394.81</v>
      </c>
      <c r="M342">
        <v>10.56</v>
      </c>
      <c r="N342">
        <v>18.5</v>
      </c>
      <c r="O342">
        <f t="shared" si="7"/>
        <v>19.28490387292662</v>
      </c>
      <c r="P342">
        <f>Table1[[#This Row],[medv]]-Table1[[#This Row],[pred_medv]]</f>
        <v>-0.78490387292661978</v>
      </c>
      <c r="Q342">
        <f>IF(Table1[[#This Row],[medv]]=0, "Undefined", ABS((N342-O342)/N342))*100</f>
        <v>4.2427236374411885</v>
      </c>
      <c r="V342">
        <v>285</v>
      </c>
      <c r="W342">
        <v>31.596890855031788</v>
      </c>
      <c r="X342">
        <v>0.60310914496821511</v>
      </c>
    </row>
    <row r="343" spans="1:24" x14ac:dyDescent="0.3">
      <c r="A343">
        <v>3.3059999999999999E-2</v>
      </c>
      <c r="B343">
        <v>0</v>
      </c>
      <c r="C343">
        <v>5.19</v>
      </c>
      <c r="D343">
        <v>0</v>
      </c>
      <c r="E343">
        <v>0.51500000000000001</v>
      </c>
      <c r="F343">
        <v>6.0590000000000002</v>
      </c>
      <c r="G343">
        <v>37.299999999999997</v>
      </c>
      <c r="H343">
        <v>4.8121999999999998</v>
      </c>
      <c r="I343">
        <v>5</v>
      </c>
      <c r="J343">
        <v>224</v>
      </c>
      <c r="K343">
        <v>20.2</v>
      </c>
      <c r="L343">
        <v>396.14</v>
      </c>
      <c r="M343">
        <v>8.51</v>
      </c>
      <c r="N343">
        <v>20.6</v>
      </c>
      <c r="O343">
        <f t="shared" si="7"/>
        <v>22.166723204271165</v>
      </c>
      <c r="P343">
        <f>Table1[[#This Row],[medv]]-Table1[[#This Row],[pred_medv]]</f>
        <v>-1.5667232042711632</v>
      </c>
      <c r="Q343">
        <f>IF(Table1[[#This Row],[medv]]=0, "Undefined", ABS((N343-O343)/N343))*100</f>
        <v>7.6054524479182675</v>
      </c>
      <c r="V343">
        <v>286</v>
      </c>
      <c r="W343">
        <v>27.356592297988325</v>
      </c>
      <c r="X343">
        <v>-5.3565922979883247</v>
      </c>
    </row>
    <row r="344" spans="1:24" x14ac:dyDescent="0.3">
      <c r="A344">
        <v>5.4969999999999998E-2</v>
      </c>
      <c r="B344">
        <v>0</v>
      </c>
      <c r="C344">
        <v>5.19</v>
      </c>
      <c r="D344">
        <v>0</v>
      </c>
      <c r="E344">
        <v>0.51500000000000001</v>
      </c>
      <c r="F344">
        <v>5.9850000000000003</v>
      </c>
      <c r="G344">
        <v>45.4</v>
      </c>
      <c r="H344">
        <v>4.8121999999999998</v>
      </c>
      <c r="I344">
        <v>5</v>
      </c>
      <c r="J344">
        <v>224</v>
      </c>
      <c r="K344">
        <v>20.2</v>
      </c>
      <c r="L344">
        <v>396.9</v>
      </c>
      <c r="M344">
        <v>9.74</v>
      </c>
      <c r="N344">
        <v>19</v>
      </c>
      <c r="O344">
        <f t="shared" si="7"/>
        <v>21.249657744229701</v>
      </c>
      <c r="P344">
        <f>Table1[[#This Row],[medv]]-Table1[[#This Row],[pred_medv]]</f>
        <v>-2.249657744229701</v>
      </c>
      <c r="Q344">
        <f>IF(Table1[[#This Row],[medv]]=0, "Undefined", ABS((N344-O344)/N344))*100</f>
        <v>11.840303916998426</v>
      </c>
      <c r="V344">
        <v>287</v>
      </c>
      <c r="W344">
        <v>20.101741541006447</v>
      </c>
      <c r="X344">
        <v>-1.741541006445857E-3</v>
      </c>
    </row>
    <row r="345" spans="1:24" x14ac:dyDescent="0.3">
      <c r="A345">
        <v>6.1510000000000002E-2</v>
      </c>
      <c r="B345">
        <v>0</v>
      </c>
      <c r="C345">
        <v>5.19</v>
      </c>
      <c r="D345">
        <v>0</v>
      </c>
      <c r="E345">
        <v>0.51500000000000001</v>
      </c>
      <c r="F345">
        <v>5.968</v>
      </c>
      <c r="G345">
        <v>58.5</v>
      </c>
      <c r="H345">
        <v>4.8121999999999998</v>
      </c>
      <c r="I345">
        <v>5</v>
      </c>
      <c r="J345">
        <v>224</v>
      </c>
      <c r="K345">
        <v>20.2</v>
      </c>
      <c r="L345">
        <v>396.9</v>
      </c>
      <c r="M345">
        <v>9.2899999999999991</v>
      </c>
      <c r="N345">
        <v>18.7</v>
      </c>
      <c r="O345">
        <f t="shared" si="7"/>
        <v>21.429393054257176</v>
      </c>
      <c r="P345">
        <f>Table1[[#This Row],[medv]]-Table1[[#This Row],[pred_medv]]</f>
        <v>-2.7293930542571765</v>
      </c>
      <c r="Q345">
        <f>IF(Table1[[#This Row],[medv]]=0, "Undefined", ABS((N345-O345)/N345))*100</f>
        <v>14.595684782123937</v>
      </c>
      <c r="V345">
        <v>288</v>
      </c>
      <c r="W345">
        <v>27.042066735689946</v>
      </c>
      <c r="X345">
        <v>-3.8420667356899472</v>
      </c>
    </row>
    <row r="346" spans="1:24" x14ac:dyDescent="0.3">
      <c r="A346">
        <v>1.3010000000000001E-2</v>
      </c>
      <c r="B346">
        <v>35</v>
      </c>
      <c r="C346">
        <v>1.52</v>
      </c>
      <c r="D346">
        <v>0</v>
      </c>
      <c r="E346">
        <v>0.442</v>
      </c>
      <c r="F346">
        <v>7.2409999999999997</v>
      </c>
      <c r="G346">
        <v>49.3</v>
      </c>
      <c r="H346">
        <v>7.0378999999999996</v>
      </c>
      <c r="I346">
        <v>1</v>
      </c>
      <c r="J346">
        <v>284</v>
      </c>
      <c r="K346">
        <v>15.5</v>
      </c>
      <c r="L346">
        <v>394.74</v>
      </c>
      <c r="M346">
        <v>5.49</v>
      </c>
      <c r="N346">
        <v>32.700000000000003</v>
      </c>
      <c r="O346">
        <f t="shared" si="7"/>
        <v>30.327887960244887</v>
      </c>
      <c r="P346">
        <f>Table1[[#This Row],[medv]]-Table1[[#This Row],[pred_medv]]</f>
        <v>2.3721120397551161</v>
      </c>
      <c r="Q346">
        <f>IF(Table1[[#This Row],[medv]]=0, "Undefined", ABS((N346-O346)/N346))*100</f>
        <v>7.254165259189957</v>
      </c>
      <c r="V346">
        <v>289</v>
      </c>
      <c r="W346">
        <v>27.213645804492284</v>
      </c>
      <c r="X346">
        <v>-4.9136458044922833</v>
      </c>
    </row>
    <row r="347" spans="1:24" x14ac:dyDescent="0.3">
      <c r="A347">
        <v>2.4979999999999999E-2</v>
      </c>
      <c r="B347">
        <v>0</v>
      </c>
      <c r="C347">
        <v>1.89</v>
      </c>
      <c r="D347">
        <v>0</v>
      </c>
      <c r="E347">
        <v>0.51800000000000002</v>
      </c>
      <c r="F347">
        <v>6.54</v>
      </c>
      <c r="G347">
        <v>59.7</v>
      </c>
      <c r="H347">
        <v>6.2668999999999997</v>
      </c>
      <c r="I347">
        <v>1</v>
      </c>
      <c r="J347">
        <v>422</v>
      </c>
      <c r="K347">
        <v>15.9</v>
      </c>
      <c r="L347">
        <v>389.96</v>
      </c>
      <c r="M347">
        <v>8.65</v>
      </c>
      <c r="N347">
        <v>16.5</v>
      </c>
      <c r="O347">
        <f t="shared" si="7"/>
        <v>22.04734975085757</v>
      </c>
      <c r="P347">
        <f>Table1[[#This Row],[medv]]-Table1[[#This Row],[pred_medv]]</f>
        <v>-5.5473497508575704</v>
      </c>
      <c r="Q347">
        <f>IF(Table1[[#This Row],[medv]]=0, "Undefined", ABS((N347-O347)/N347))*100</f>
        <v>33.62030152034891</v>
      </c>
      <c r="V347">
        <v>290</v>
      </c>
      <c r="W347">
        <v>26.913958393599113</v>
      </c>
      <c r="X347">
        <v>-2.1139583935991126</v>
      </c>
    </row>
    <row r="348" spans="1:24" x14ac:dyDescent="0.3">
      <c r="A348">
        <v>2.5430000000000001E-2</v>
      </c>
      <c r="B348">
        <v>55</v>
      </c>
      <c r="C348">
        <v>3.78</v>
      </c>
      <c r="D348">
        <v>0</v>
      </c>
      <c r="E348">
        <v>0.48399999999999999</v>
      </c>
      <c r="F348">
        <v>6.6959999999999997</v>
      </c>
      <c r="G348">
        <v>56.4</v>
      </c>
      <c r="H348">
        <v>5.7321</v>
      </c>
      <c r="I348">
        <v>5</v>
      </c>
      <c r="J348">
        <v>370</v>
      </c>
      <c r="K348">
        <v>17.600000000000001</v>
      </c>
      <c r="L348">
        <v>396.9</v>
      </c>
      <c r="M348">
        <v>7.18</v>
      </c>
      <c r="N348">
        <v>23.9</v>
      </c>
      <c r="O348">
        <f t="shared" si="7"/>
        <v>27.706479124564979</v>
      </c>
      <c r="P348">
        <f>Table1[[#This Row],[medv]]-Table1[[#This Row],[pred_medv]]</f>
        <v>-3.8064791245649801</v>
      </c>
      <c r="Q348">
        <f>IF(Table1[[#This Row],[medv]]=0, "Undefined", ABS((N348-O348)/N348))*100</f>
        <v>15.926690897761423</v>
      </c>
      <c r="V348">
        <v>291</v>
      </c>
      <c r="W348">
        <v>33.435633105585467</v>
      </c>
      <c r="X348">
        <v>-4.9356331055854668</v>
      </c>
    </row>
    <row r="349" spans="1:24" x14ac:dyDescent="0.3">
      <c r="A349">
        <v>3.049E-2</v>
      </c>
      <c r="B349">
        <v>55</v>
      </c>
      <c r="C349">
        <v>3.78</v>
      </c>
      <c r="D349">
        <v>0</v>
      </c>
      <c r="E349">
        <v>0.48399999999999999</v>
      </c>
      <c r="F349">
        <v>6.8739999999999997</v>
      </c>
      <c r="G349">
        <v>28.1</v>
      </c>
      <c r="H349">
        <v>6.4653999999999998</v>
      </c>
      <c r="I349">
        <v>5</v>
      </c>
      <c r="J349">
        <v>370</v>
      </c>
      <c r="K349">
        <v>17.600000000000001</v>
      </c>
      <c r="L349">
        <v>387.97</v>
      </c>
      <c r="M349">
        <v>4.6100000000000003</v>
      </c>
      <c r="N349">
        <v>31.2</v>
      </c>
      <c r="O349">
        <f t="shared" si="7"/>
        <v>28.547941168159582</v>
      </c>
      <c r="P349">
        <f>Table1[[#This Row],[medv]]-Table1[[#This Row],[pred_medv]]</f>
        <v>2.6520588318404172</v>
      </c>
      <c r="Q349">
        <f>IF(Table1[[#This Row],[medv]]=0, "Undefined", ABS((N349-O349)/N349))*100</f>
        <v>8.500188563591081</v>
      </c>
      <c r="V349">
        <v>292</v>
      </c>
      <c r="W349">
        <v>34.403496330177305</v>
      </c>
      <c r="X349">
        <v>2.8965036698226925</v>
      </c>
    </row>
    <row r="350" spans="1:24" x14ac:dyDescent="0.3">
      <c r="A350">
        <v>3.1130000000000001E-2</v>
      </c>
      <c r="B350">
        <v>0</v>
      </c>
      <c r="C350">
        <v>4.3899999999999997</v>
      </c>
      <c r="D350">
        <v>0</v>
      </c>
      <c r="E350">
        <v>0.442</v>
      </c>
      <c r="F350">
        <v>6.0140000000000002</v>
      </c>
      <c r="G350">
        <v>48.5</v>
      </c>
      <c r="H350">
        <v>8.0136000000000003</v>
      </c>
      <c r="I350">
        <v>3</v>
      </c>
      <c r="J350">
        <v>352</v>
      </c>
      <c r="K350">
        <v>18.8</v>
      </c>
      <c r="L350">
        <v>385.64</v>
      </c>
      <c r="M350">
        <v>10.53</v>
      </c>
      <c r="N350">
        <v>17.5</v>
      </c>
      <c r="O350">
        <f t="shared" si="7"/>
        <v>16.545011214380221</v>
      </c>
      <c r="P350">
        <f>Table1[[#This Row],[medv]]-Table1[[#This Row],[pred_medv]]</f>
        <v>0.95498878561977918</v>
      </c>
      <c r="Q350">
        <f>IF(Table1[[#This Row],[medv]]=0, "Undefined", ABS((N350-O350)/N350))*100</f>
        <v>5.4570787749701664</v>
      </c>
      <c r="V350">
        <v>293</v>
      </c>
      <c r="W350">
        <v>31.833398201434612</v>
      </c>
      <c r="X350">
        <v>-3.9333982014346134</v>
      </c>
    </row>
    <row r="351" spans="1:24" x14ac:dyDescent="0.3">
      <c r="A351">
        <v>6.1620000000000001E-2</v>
      </c>
      <c r="B351">
        <v>0</v>
      </c>
      <c r="C351">
        <v>4.3899999999999997</v>
      </c>
      <c r="D351">
        <v>0</v>
      </c>
      <c r="E351">
        <v>0.442</v>
      </c>
      <c r="F351">
        <v>5.8979999999999997</v>
      </c>
      <c r="G351">
        <v>52.3</v>
      </c>
      <c r="H351">
        <v>8.0136000000000003</v>
      </c>
      <c r="I351">
        <v>3</v>
      </c>
      <c r="J351">
        <v>352</v>
      </c>
      <c r="K351">
        <v>18.8</v>
      </c>
      <c r="L351">
        <v>364.61</v>
      </c>
      <c r="M351">
        <v>12.67</v>
      </c>
      <c r="N351">
        <v>17.2</v>
      </c>
      <c r="O351">
        <f t="shared" si="7"/>
        <v>14.783596409864586</v>
      </c>
      <c r="P351">
        <f>Table1[[#This Row],[medv]]-Table1[[#This Row],[pred_medv]]</f>
        <v>2.4164035901354133</v>
      </c>
      <c r="Q351">
        <f>IF(Table1[[#This Row],[medv]]=0, "Undefined", ABS((N351-O351)/N351))*100</f>
        <v>14.048858082182637</v>
      </c>
      <c r="V351">
        <v>294</v>
      </c>
      <c r="W351">
        <v>25.817832368947805</v>
      </c>
      <c r="X351">
        <v>-1.9178323689478063</v>
      </c>
    </row>
    <row r="352" spans="1:24" x14ac:dyDescent="0.3">
      <c r="A352">
        <v>1.8700000000000001E-2</v>
      </c>
      <c r="B352">
        <v>85</v>
      </c>
      <c r="C352">
        <v>4.1500000000000004</v>
      </c>
      <c r="D352">
        <v>0</v>
      </c>
      <c r="E352">
        <v>0.42899999999999999</v>
      </c>
      <c r="F352">
        <v>6.516</v>
      </c>
      <c r="G352">
        <v>27.7</v>
      </c>
      <c r="H352">
        <v>8.5352999999999994</v>
      </c>
      <c r="I352">
        <v>4</v>
      </c>
      <c r="J352">
        <v>351</v>
      </c>
      <c r="K352">
        <v>17.899999999999999</v>
      </c>
      <c r="L352">
        <v>392.43</v>
      </c>
      <c r="M352">
        <v>6.36</v>
      </c>
      <c r="N352">
        <v>23.1</v>
      </c>
      <c r="O352">
        <f t="shared" si="7"/>
        <v>25.273800816857012</v>
      </c>
      <c r="P352">
        <f>Table1[[#This Row],[medv]]-Table1[[#This Row],[pred_medv]]</f>
        <v>-2.1738008168570104</v>
      </c>
      <c r="Q352">
        <f>IF(Table1[[#This Row],[medv]]=0, "Undefined", ABS((N352-O352)/N352))*100</f>
        <v>9.4103931465671451</v>
      </c>
      <c r="V352">
        <v>295</v>
      </c>
      <c r="W352">
        <v>24.429823483247745</v>
      </c>
      <c r="X352">
        <v>-2.7298234832477455</v>
      </c>
    </row>
    <row r="353" spans="1:24" x14ac:dyDescent="0.3">
      <c r="A353">
        <v>1.5010000000000001E-2</v>
      </c>
      <c r="B353">
        <v>80</v>
      </c>
      <c r="C353">
        <v>2.0099999999999998</v>
      </c>
      <c r="D353">
        <v>0</v>
      </c>
      <c r="E353">
        <v>0.435</v>
      </c>
      <c r="F353">
        <v>6.6349999999999998</v>
      </c>
      <c r="G353">
        <v>29.7</v>
      </c>
      <c r="H353">
        <v>8.3439999999999994</v>
      </c>
      <c r="I353">
        <v>4</v>
      </c>
      <c r="J353">
        <v>280</v>
      </c>
      <c r="K353">
        <v>17</v>
      </c>
      <c r="L353">
        <v>390.94</v>
      </c>
      <c r="M353">
        <v>5.99</v>
      </c>
      <c r="N353">
        <v>24.5</v>
      </c>
      <c r="O353">
        <f t="shared" si="7"/>
        <v>27.542051173933935</v>
      </c>
      <c r="P353">
        <f>Table1[[#This Row],[medv]]-Table1[[#This Row],[pred_medv]]</f>
        <v>-3.0420511739339346</v>
      </c>
      <c r="Q353">
        <f>IF(Table1[[#This Row],[medv]]=0, "Undefined", ABS((N353-O353)/N353))*100</f>
        <v>12.416535403811977</v>
      </c>
      <c r="V353">
        <v>296</v>
      </c>
      <c r="W353">
        <v>28.457643368376768</v>
      </c>
      <c r="X353">
        <v>0.1423566316232332</v>
      </c>
    </row>
    <row r="354" spans="1:24" x14ac:dyDescent="0.3">
      <c r="A354">
        <v>2.8989999999999998E-2</v>
      </c>
      <c r="B354">
        <v>40</v>
      </c>
      <c r="C354">
        <v>1.25</v>
      </c>
      <c r="D354">
        <v>0</v>
      </c>
      <c r="E354">
        <v>0.42899999999999999</v>
      </c>
      <c r="F354">
        <v>6.9390000000000001</v>
      </c>
      <c r="G354">
        <v>34.5</v>
      </c>
      <c r="H354">
        <v>8.7920999999999996</v>
      </c>
      <c r="I354">
        <v>1</v>
      </c>
      <c r="J354">
        <v>335</v>
      </c>
      <c r="K354">
        <v>19.7</v>
      </c>
      <c r="L354">
        <v>389.85</v>
      </c>
      <c r="M354">
        <v>5.89</v>
      </c>
      <c r="N354">
        <v>26.6</v>
      </c>
      <c r="O354">
        <f t="shared" si="7"/>
        <v>22.148375624477438</v>
      </c>
      <c r="P354">
        <f>Table1[[#This Row],[medv]]-Table1[[#This Row],[pred_medv]]</f>
        <v>4.4516243755225631</v>
      </c>
      <c r="Q354">
        <f>IF(Table1[[#This Row],[medv]]=0, "Undefined", ABS((N354-O354)/N354))*100</f>
        <v>16.735429983167531</v>
      </c>
      <c r="V354">
        <v>297</v>
      </c>
      <c r="W354">
        <v>27.362669985236689</v>
      </c>
      <c r="X354">
        <v>-0.26266998523668761</v>
      </c>
    </row>
    <row r="355" spans="1:24" x14ac:dyDescent="0.3">
      <c r="A355">
        <v>6.2109999999999999E-2</v>
      </c>
      <c r="B355">
        <v>40</v>
      </c>
      <c r="C355">
        <v>1.25</v>
      </c>
      <c r="D355">
        <v>0</v>
      </c>
      <c r="E355">
        <v>0.42899999999999999</v>
      </c>
      <c r="F355">
        <v>6.49</v>
      </c>
      <c r="G355">
        <v>44.4</v>
      </c>
      <c r="H355">
        <v>8.7920999999999996</v>
      </c>
      <c r="I355">
        <v>1</v>
      </c>
      <c r="J355">
        <v>335</v>
      </c>
      <c r="K355">
        <v>19.7</v>
      </c>
      <c r="L355">
        <v>396.9</v>
      </c>
      <c r="M355">
        <v>5.98</v>
      </c>
      <c r="N355">
        <v>22.9</v>
      </c>
      <c r="O355">
        <f t="shared" si="7"/>
        <v>20.459440947461211</v>
      </c>
      <c r="P355">
        <f>Table1[[#This Row],[medv]]-Table1[[#This Row],[pred_medv]]</f>
        <v>2.4405590525387879</v>
      </c>
      <c r="Q355">
        <f>IF(Table1[[#This Row],[medv]]=0, "Undefined", ABS((N355-O355)/N355))*100</f>
        <v>10.657463111523093</v>
      </c>
      <c r="V355">
        <v>298</v>
      </c>
      <c r="W355">
        <v>19.539287580800313</v>
      </c>
      <c r="X355">
        <v>0.76071241919968813</v>
      </c>
    </row>
    <row r="356" spans="1:24" x14ac:dyDescent="0.3">
      <c r="A356">
        <v>7.9500000000000001E-2</v>
      </c>
      <c r="B356">
        <v>60</v>
      </c>
      <c r="C356">
        <v>1.69</v>
      </c>
      <c r="D356">
        <v>0</v>
      </c>
      <c r="E356">
        <v>0.41099999999999998</v>
      </c>
      <c r="F356">
        <v>6.5789999999999997</v>
      </c>
      <c r="G356">
        <v>35.9</v>
      </c>
      <c r="H356">
        <v>10.7103</v>
      </c>
      <c r="I356">
        <v>4</v>
      </c>
      <c r="J356">
        <v>411</v>
      </c>
      <c r="K356">
        <v>18.3</v>
      </c>
      <c r="L356">
        <v>370.78</v>
      </c>
      <c r="M356">
        <v>5.49</v>
      </c>
      <c r="N356">
        <v>24.1</v>
      </c>
      <c r="O356">
        <f t="shared" si="7"/>
        <v>20.546054227453411</v>
      </c>
      <c r="P356">
        <f>Table1[[#This Row],[medv]]-Table1[[#This Row],[pred_medv]]</f>
        <v>3.5539457725465908</v>
      </c>
      <c r="Q356">
        <f>IF(Table1[[#This Row],[medv]]=0, "Undefined", ABS((N356-O356)/N356))*100</f>
        <v>14.746662956624856</v>
      </c>
      <c r="V356">
        <v>299</v>
      </c>
      <c r="W356">
        <v>29.113098440926198</v>
      </c>
      <c r="X356">
        <v>-6.6130984409261977</v>
      </c>
    </row>
    <row r="357" spans="1:24" x14ac:dyDescent="0.3">
      <c r="A357">
        <v>7.2440000000000004E-2</v>
      </c>
      <c r="B357">
        <v>60</v>
      </c>
      <c r="C357">
        <v>1.69</v>
      </c>
      <c r="D357">
        <v>0</v>
      </c>
      <c r="E357">
        <v>0.41099999999999998</v>
      </c>
      <c r="F357">
        <v>5.8840000000000003</v>
      </c>
      <c r="G357">
        <v>18.5</v>
      </c>
      <c r="H357">
        <v>10.7103</v>
      </c>
      <c r="I357">
        <v>4</v>
      </c>
      <c r="J357">
        <v>411</v>
      </c>
      <c r="K357">
        <v>18.3</v>
      </c>
      <c r="L357">
        <v>392.33</v>
      </c>
      <c r="M357">
        <v>7.79</v>
      </c>
      <c r="N357">
        <v>18.600000000000001</v>
      </c>
      <c r="O357">
        <f t="shared" si="7"/>
        <v>16.880638265647978</v>
      </c>
      <c r="P357">
        <f>Table1[[#This Row],[medv]]-Table1[[#This Row],[pred_medv]]</f>
        <v>1.7193617343520238</v>
      </c>
      <c r="Q357">
        <f>IF(Table1[[#This Row],[medv]]=0, "Undefined", ABS((N357-O357)/N357))*100</f>
        <v>9.2438802922151808</v>
      </c>
      <c r="V357">
        <v>300</v>
      </c>
      <c r="W357">
        <v>31.910546107827599</v>
      </c>
      <c r="X357">
        <v>-2.9105461078275994</v>
      </c>
    </row>
    <row r="358" spans="1:24" x14ac:dyDescent="0.3">
      <c r="A358">
        <v>1.7090000000000001E-2</v>
      </c>
      <c r="B358">
        <v>90</v>
      </c>
      <c r="C358">
        <v>2.02</v>
      </c>
      <c r="D358">
        <v>0</v>
      </c>
      <c r="E358">
        <v>0.41</v>
      </c>
      <c r="F358">
        <v>6.7279999999999998</v>
      </c>
      <c r="G358">
        <v>36.1</v>
      </c>
      <c r="H358">
        <v>12.1265</v>
      </c>
      <c r="I358">
        <v>5</v>
      </c>
      <c r="J358">
        <v>187</v>
      </c>
      <c r="K358">
        <v>17</v>
      </c>
      <c r="L358">
        <v>384.46</v>
      </c>
      <c r="M358">
        <v>4.5</v>
      </c>
      <c r="N358">
        <v>30.1</v>
      </c>
      <c r="O358">
        <f t="shared" si="7"/>
        <v>25.402535058015232</v>
      </c>
      <c r="P358">
        <f>Table1[[#This Row],[medv]]-Table1[[#This Row],[pred_medv]]</f>
        <v>4.6974649419847694</v>
      </c>
      <c r="Q358">
        <f>IF(Table1[[#This Row],[medv]]=0, "Undefined", ABS((N358-O358)/N358))*100</f>
        <v>15.606195820547406</v>
      </c>
      <c r="V358">
        <v>301</v>
      </c>
      <c r="W358">
        <v>30.771594485123508</v>
      </c>
      <c r="X358">
        <v>-5.9715944851235072</v>
      </c>
    </row>
    <row r="359" spans="1:24" x14ac:dyDescent="0.3">
      <c r="A359">
        <v>4.301E-2</v>
      </c>
      <c r="B359">
        <v>80</v>
      </c>
      <c r="C359">
        <v>1.91</v>
      </c>
      <c r="D359">
        <v>0</v>
      </c>
      <c r="E359">
        <v>0.41299999999999998</v>
      </c>
      <c r="F359">
        <v>5.6630000000000003</v>
      </c>
      <c r="G359">
        <v>21.9</v>
      </c>
      <c r="H359">
        <v>10.585699999999999</v>
      </c>
      <c r="I359">
        <v>4</v>
      </c>
      <c r="J359">
        <v>334</v>
      </c>
      <c r="K359">
        <v>22</v>
      </c>
      <c r="L359">
        <v>382.8</v>
      </c>
      <c r="M359">
        <v>8.0500000000000007</v>
      </c>
      <c r="N359">
        <v>18.2</v>
      </c>
      <c r="O359">
        <f t="shared" si="7"/>
        <v>14.324866319042609</v>
      </c>
      <c r="P359">
        <f>Table1[[#This Row],[medv]]-Table1[[#This Row],[pred_medv]]</f>
        <v>3.87513368095739</v>
      </c>
      <c r="Q359">
        <f>IF(Table1[[#This Row],[medv]]=0, "Undefined", ABS((N359-O359)/N359))*100</f>
        <v>21.291943301963681</v>
      </c>
      <c r="V359">
        <v>302</v>
      </c>
      <c r="W359">
        <v>28.942758712751079</v>
      </c>
      <c r="X359">
        <v>-6.942758712751079</v>
      </c>
    </row>
    <row r="360" spans="1:24" x14ac:dyDescent="0.3">
      <c r="A360">
        <v>0.10659</v>
      </c>
      <c r="B360">
        <v>80</v>
      </c>
      <c r="C360">
        <v>1.91</v>
      </c>
      <c r="D360">
        <v>0</v>
      </c>
      <c r="E360">
        <v>0.41299999999999998</v>
      </c>
      <c r="F360">
        <v>5.9359999999999999</v>
      </c>
      <c r="G360">
        <v>19.5</v>
      </c>
      <c r="H360">
        <v>10.585699999999999</v>
      </c>
      <c r="I360">
        <v>4</v>
      </c>
      <c r="J360">
        <v>334</v>
      </c>
      <c r="K360">
        <v>22</v>
      </c>
      <c r="L360">
        <v>376.04</v>
      </c>
      <c r="M360">
        <v>5.57</v>
      </c>
      <c r="N360">
        <v>20.6</v>
      </c>
      <c r="O360">
        <f t="shared" si="7"/>
        <v>16.594884617384203</v>
      </c>
      <c r="P360">
        <f>Table1[[#This Row],[medv]]-Table1[[#This Row],[pred_medv]]</f>
        <v>4.0051153826157986</v>
      </c>
      <c r="Q360">
        <f>IF(Table1[[#This Row],[medv]]=0, "Undefined", ABS((N360-O360)/N360))*100</f>
        <v>19.442307682600962</v>
      </c>
      <c r="V360">
        <v>303</v>
      </c>
      <c r="W360">
        <v>28.881910224002354</v>
      </c>
      <c r="X360">
        <v>-2.4819102240023554</v>
      </c>
    </row>
    <row r="361" spans="1:24" x14ac:dyDescent="0.3">
      <c r="A361">
        <v>8.9829600000000003</v>
      </c>
      <c r="B361">
        <v>0</v>
      </c>
      <c r="C361">
        <v>18.100000000000001</v>
      </c>
      <c r="D361">
        <v>1</v>
      </c>
      <c r="E361">
        <v>0.77</v>
      </c>
      <c r="F361">
        <v>6.2119999999999997</v>
      </c>
      <c r="G361">
        <v>97.4</v>
      </c>
      <c r="H361">
        <v>2.1221999999999999</v>
      </c>
      <c r="I361">
        <v>24</v>
      </c>
      <c r="J361">
        <v>666</v>
      </c>
      <c r="K361">
        <v>20.2</v>
      </c>
      <c r="L361">
        <v>377.73</v>
      </c>
      <c r="M361">
        <v>17.600000000000001</v>
      </c>
      <c r="N361">
        <v>17.8</v>
      </c>
      <c r="O361">
        <f t="shared" si="7"/>
        <v>19.637046913301475</v>
      </c>
      <c r="P361">
        <f>Table1[[#This Row],[medv]]-Table1[[#This Row],[pred_medv]]</f>
        <v>-1.8370469133014744</v>
      </c>
      <c r="Q361">
        <f>IF(Table1[[#This Row],[medv]]=0, "Undefined", ABS((N361-O361)/N361))*100</f>
        <v>10.320488276974576</v>
      </c>
      <c r="V361">
        <v>304</v>
      </c>
      <c r="W361">
        <v>32.798872318660379</v>
      </c>
      <c r="X361">
        <v>0.3011276813396222</v>
      </c>
    </row>
    <row r="362" spans="1:24" x14ac:dyDescent="0.3">
      <c r="A362">
        <v>3.8496999999999999</v>
      </c>
      <c r="B362">
        <v>0</v>
      </c>
      <c r="C362">
        <v>18.100000000000001</v>
      </c>
      <c r="D362">
        <v>1</v>
      </c>
      <c r="E362">
        <v>0.77</v>
      </c>
      <c r="F362">
        <v>6.3949999999999996</v>
      </c>
      <c r="G362">
        <v>91</v>
      </c>
      <c r="H362">
        <v>2.5051999999999999</v>
      </c>
      <c r="I362">
        <v>24</v>
      </c>
      <c r="J362">
        <v>666</v>
      </c>
      <c r="K362">
        <v>20.2</v>
      </c>
      <c r="L362">
        <v>391.34</v>
      </c>
      <c r="M362">
        <v>13.27</v>
      </c>
      <c r="N362">
        <v>21.7</v>
      </c>
      <c r="O362">
        <f t="shared" si="7"/>
        <v>22.718066074784375</v>
      </c>
      <c r="P362">
        <f>Table1[[#This Row],[medv]]-Table1[[#This Row],[pred_medv]]</f>
        <v>-1.0180660747843753</v>
      </c>
      <c r="Q362">
        <f>IF(Table1[[#This Row],[medv]]=0, "Undefined", ABS((N362-O362)/N362))*100</f>
        <v>4.6915487317252325</v>
      </c>
      <c r="V362">
        <v>305</v>
      </c>
      <c r="W362">
        <v>33.209054559411491</v>
      </c>
      <c r="X362">
        <v>2.89094544058851</v>
      </c>
    </row>
    <row r="363" spans="1:24" x14ac:dyDescent="0.3">
      <c r="A363">
        <v>5.2017699999999998</v>
      </c>
      <c r="B363">
        <v>0</v>
      </c>
      <c r="C363">
        <v>18.100000000000001</v>
      </c>
      <c r="D363">
        <v>1</v>
      </c>
      <c r="E363">
        <v>0.77</v>
      </c>
      <c r="F363">
        <v>6.1269999999999998</v>
      </c>
      <c r="G363">
        <v>83.4</v>
      </c>
      <c r="H363">
        <v>2.7227000000000001</v>
      </c>
      <c r="I363">
        <v>24</v>
      </c>
      <c r="J363">
        <v>666</v>
      </c>
      <c r="K363">
        <v>20.2</v>
      </c>
      <c r="L363">
        <v>395.43</v>
      </c>
      <c r="M363">
        <v>11.48</v>
      </c>
      <c r="N363">
        <v>22.7</v>
      </c>
      <c r="O363">
        <f t="shared" si="7"/>
        <v>22.202188867535583</v>
      </c>
      <c r="P363">
        <f>Table1[[#This Row],[medv]]-Table1[[#This Row],[pred_medv]]</f>
        <v>0.49781113246441677</v>
      </c>
      <c r="Q363">
        <f>IF(Table1[[#This Row],[medv]]=0, "Undefined", ABS((N363-O363)/N363))*100</f>
        <v>2.1930005835436863</v>
      </c>
      <c r="V363">
        <v>306</v>
      </c>
      <c r="W363">
        <v>30.768317923137221</v>
      </c>
      <c r="X363">
        <v>-2.3683179231372229</v>
      </c>
    </row>
    <row r="364" spans="1:24" x14ac:dyDescent="0.3">
      <c r="A364">
        <v>4.2613099999999999</v>
      </c>
      <c r="B364">
        <v>0</v>
      </c>
      <c r="C364">
        <v>18.100000000000001</v>
      </c>
      <c r="D364">
        <v>0</v>
      </c>
      <c r="E364">
        <v>0.77</v>
      </c>
      <c r="F364">
        <v>6.1120000000000001</v>
      </c>
      <c r="G364">
        <v>81.3</v>
      </c>
      <c r="H364">
        <v>2.5091000000000001</v>
      </c>
      <c r="I364">
        <v>24</v>
      </c>
      <c r="J364">
        <v>666</v>
      </c>
      <c r="K364">
        <v>20.2</v>
      </c>
      <c r="L364">
        <v>390.74</v>
      </c>
      <c r="M364">
        <v>12.67</v>
      </c>
      <c r="N364">
        <v>22.6</v>
      </c>
      <c r="O364">
        <f t="shared" si="7"/>
        <v>19.20548057395311</v>
      </c>
      <c r="P364">
        <f>Table1[[#This Row],[medv]]-Table1[[#This Row],[pred_medv]]</f>
        <v>3.3945194260468909</v>
      </c>
      <c r="Q364">
        <f>IF(Table1[[#This Row],[medv]]=0, "Undefined", ABS((N364-O364)/N364))*100</f>
        <v>15.01999746038447</v>
      </c>
      <c r="V364">
        <v>307</v>
      </c>
      <c r="W364">
        <v>35.562268569668241</v>
      </c>
      <c r="X364">
        <v>-2.1622685696682424</v>
      </c>
    </row>
    <row r="365" spans="1:24" x14ac:dyDescent="0.3">
      <c r="A365">
        <v>4.5419200000000002</v>
      </c>
      <c r="B365">
        <v>0</v>
      </c>
      <c r="C365">
        <v>18.100000000000001</v>
      </c>
      <c r="D365">
        <v>0</v>
      </c>
      <c r="E365">
        <v>0.77</v>
      </c>
      <c r="F365">
        <v>6.3979999999999997</v>
      </c>
      <c r="G365">
        <v>88</v>
      </c>
      <c r="H365">
        <v>2.5182000000000002</v>
      </c>
      <c r="I365">
        <v>24</v>
      </c>
      <c r="J365">
        <v>666</v>
      </c>
      <c r="K365">
        <v>20.2</v>
      </c>
      <c r="L365">
        <v>374.56</v>
      </c>
      <c r="M365">
        <v>7.79</v>
      </c>
      <c r="N365">
        <v>25</v>
      </c>
      <c r="O365">
        <f t="shared" si="7"/>
        <v>22.666161051338115</v>
      </c>
      <c r="P365">
        <f>Table1[[#This Row],[medv]]-Table1[[#This Row],[pred_medv]]</f>
        <v>2.3338389486618851</v>
      </c>
      <c r="Q365">
        <f>IF(Table1[[#This Row],[medv]]=0, "Undefined", ABS((N365-O365)/N365))*100</f>
        <v>9.3353557946475405</v>
      </c>
      <c r="V365">
        <v>308</v>
      </c>
      <c r="W365">
        <v>32.709051237031183</v>
      </c>
      <c r="X365">
        <v>-4.5090512370311835</v>
      </c>
    </row>
    <row r="366" spans="1:24" x14ac:dyDescent="0.3">
      <c r="A366">
        <v>3.83684</v>
      </c>
      <c r="B366">
        <v>0</v>
      </c>
      <c r="C366">
        <v>18.100000000000001</v>
      </c>
      <c r="D366">
        <v>0</v>
      </c>
      <c r="E366">
        <v>0.77</v>
      </c>
      <c r="F366">
        <v>6.2510000000000003</v>
      </c>
      <c r="G366">
        <v>91.1</v>
      </c>
      <c r="H366">
        <v>2.2955000000000001</v>
      </c>
      <c r="I366">
        <v>24</v>
      </c>
      <c r="J366">
        <v>666</v>
      </c>
      <c r="K366">
        <v>20.2</v>
      </c>
      <c r="L366">
        <v>350.65</v>
      </c>
      <c r="M366">
        <v>14.19</v>
      </c>
      <c r="N366">
        <v>19.899999999999999</v>
      </c>
      <c r="O366">
        <f t="shared" si="7"/>
        <v>18.931926181669436</v>
      </c>
      <c r="P366">
        <f>Table1[[#This Row],[medv]]-Table1[[#This Row],[pred_medv]]</f>
        <v>0.96807381833056283</v>
      </c>
      <c r="Q366">
        <f>IF(Table1[[#This Row],[medv]]=0, "Undefined", ABS((N366-O366)/N366))*100</f>
        <v>4.8646925544249386</v>
      </c>
      <c r="V366">
        <v>309</v>
      </c>
      <c r="W366">
        <v>28.642442366263797</v>
      </c>
      <c r="X366">
        <v>-5.8424423662637963</v>
      </c>
    </row>
    <row r="367" spans="1:24" x14ac:dyDescent="0.3">
      <c r="A367">
        <v>3.67822</v>
      </c>
      <c r="B367">
        <v>0</v>
      </c>
      <c r="C367">
        <v>18.100000000000001</v>
      </c>
      <c r="D367">
        <v>0</v>
      </c>
      <c r="E367">
        <v>0.77</v>
      </c>
      <c r="F367">
        <v>5.3620000000000001</v>
      </c>
      <c r="G367">
        <v>96.2</v>
      </c>
      <c r="H367">
        <v>2.1036000000000001</v>
      </c>
      <c r="I367">
        <v>24</v>
      </c>
      <c r="J367">
        <v>666</v>
      </c>
      <c r="K367">
        <v>20.2</v>
      </c>
      <c r="L367">
        <v>380.79</v>
      </c>
      <c r="M367">
        <v>10.19</v>
      </c>
      <c r="N367">
        <v>20.8</v>
      </c>
      <c r="O367">
        <f t="shared" si="7"/>
        <v>18.228468043026663</v>
      </c>
      <c r="P367">
        <f>Table1[[#This Row],[medv]]-Table1[[#This Row],[pred_medv]]</f>
        <v>2.5715319569733381</v>
      </c>
      <c r="Q367">
        <f>IF(Table1[[#This Row],[medv]]=0, "Undefined", ABS((N367-O367)/N367))*100</f>
        <v>12.363134408525664</v>
      </c>
      <c r="V367">
        <v>310</v>
      </c>
      <c r="W367">
        <v>23.589658271081543</v>
      </c>
      <c r="X367">
        <v>-3.2896582710815423</v>
      </c>
    </row>
    <row r="368" spans="1:24" x14ac:dyDescent="0.3">
      <c r="A368">
        <v>4.2223899999999999</v>
      </c>
      <c r="B368">
        <v>0</v>
      </c>
      <c r="C368">
        <v>18.100000000000001</v>
      </c>
      <c r="D368">
        <v>1</v>
      </c>
      <c r="E368">
        <v>0.77</v>
      </c>
      <c r="F368">
        <v>5.8029999999999999</v>
      </c>
      <c r="G368">
        <v>89</v>
      </c>
      <c r="H368">
        <v>1.9047000000000001</v>
      </c>
      <c r="I368">
        <v>24</v>
      </c>
      <c r="J368">
        <v>666</v>
      </c>
      <c r="K368">
        <v>20.2</v>
      </c>
      <c r="L368">
        <v>353.04</v>
      </c>
      <c r="M368">
        <v>14.64</v>
      </c>
      <c r="N368">
        <v>16.8</v>
      </c>
      <c r="O368">
        <f t="shared" si="7"/>
        <v>20.231508113855067</v>
      </c>
      <c r="P368">
        <f>Table1[[#This Row],[medv]]-Table1[[#This Row],[pred_medv]]</f>
        <v>-3.4315081138550667</v>
      </c>
      <c r="Q368">
        <f>IF(Table1[[#This Row],[medv]]=0, "Undefined", ABS((N368-O368)/N368))*100</f>
        <v>20.425643534851588</v>
      </c>
      <c r="V368">
        <v>311</v>
      </c>
      <c r="W368">
        <v>18.542668967734528</v>
      </c>
      <c r="X368">
        <v>-2.4426689677345266</v>
      </c>
    </row>
    <row r="369" spans="1:24" x14ac:dyDescent="0.3">
      <c r="A369">
        <v>3.4742799999999998</v>
      </c>
      <c r="B369">
        <v>0</v>
      </c>
      <c r="C369">
        <v>18.100000000000001</v>
      </c>
      <c r="D369">
        <v>1</v>
      </c>
      <c r="E369">
        <v>0.71799999999999997</v>
      </c>
      <c r="F369">
        <v>8.7799999999999994</v>
      </c>
      <c r="G369">
        <v>82.9</v>
      </c>
      <c r="H369">
        <v>1.9047000000000001</v>
      </c>
      <c r="I369">
        <v>24</v>
      </c>
      <c r="J369">
        <v>666</v>
      </c>
      <c r="K369">
        <v>20.2</v>
      </c>
      <c r="L369">
        <v>354.55</v>
      </c>
      <c r="M369">
        <v>5.29</v>
      </c>
      <c r="N369">
        <v>21.9</v>
      </c>
      <c r="O369">
        <f t="shared" si="7"/>
        <v>37.494473899695137</v>
      </c>
      <c r="P369">
        <f>Table1[[#This Row],[medv]]-Table1[[#This Row],[pred_medv]]</f>
        <v>-15.594473899695139</v>
      </c>
      <c r="Q369">
        <f>IF(Table1[[#This Row],[medv]]=0, "Undefined", ABS((N369-O369)/N369))*100</f>
        <v>71.207643377603375</v>
      </c>
      <c r="V369">
        <v>312</v>
      </c>
      <c r="W369">
        <v>26.878898428919634</v>
      </c>
      <c r="X369">
        <v>-4.7788984289196321</v>
      </c>
    </row>
    <row r="370" spans="1:24" x14ac:dyDescent="0.3">
      <c r="A370">
        <v>4.5558699999999996</v>
      </c>
      <c r="B370">
        <v>0</v>
      </c>
      <c r="C370">
        <v>18.100000000000001</v>
      </c>
      <c r="D370">
        <v>0</v>
      </c>
      <c r="E370">
        <v>0.71799999999999997</v>
      </c>
      <c r="F370">
        <v>3.5609999999999999</v>
      </c>
      <c r="G370">
        <v>87.9</v>
      </c>
      <c r="H370">
        <v>1.6132</v>
      </c>
      <c r="I370">
        <v>24</v>
      </c>
      <c r="J370">
        <v>666</v>
      </c>
      <c r="K370">
        <v>20.2</v>
      </c>
      <c r="L370">
        <v>354.7</v>
      </c>
      <c r="M370">
        <v>7.12</v>
      </c>
      <c r="N370">
        <v>27.5</v>
      </c>
      <c r="O370">
        <f t="shared" si="7"/>
        <v>14.281907341199986</v>
      </c>
      <c r="P370">
        <f>Table1[[#This Row],[medv]]-Table1[[#This Row],[pred_medv]]</f>
        <v>13.218092658800014</v>
      </c>
      <c r="Q370">
        <f>IF(Table1[[#This Row],[medv]]=0, "Undefined", ABS((N370-O370)/N370))*100</f>
        <v>48.065791486545507</v>
      </c>
      <c r="V370">
        <v>313</v>
      </c>
      <c r="W370">
        <v>23.28133978819039</v>
      </c>
      <c r="X370">
        <v>-3.8813397881903917</v>
      </c>
    </row>
    <row r="371" spans="1:24" x14ac:dyDescent="0.3">
      <c r="A371">
        <v>3.6969500000000002</v>
      </c>
      <c r="B371">
        <v>0</v>
      </c>
      <c r="C371">
        <v>18.100000000000001</v>
      </c>
      <c r="D371">
        <v>0</v>
      </c>
      <c r="E371">
        <v>0.71799999999999997</v>
      </c>
      <c r="F371">
        <v>4.9630000000000001</v>
      </c>
      <c r="G371">
        <v>91.4</v>
      </c>
      <c r="H371">
        <v>1.7523</v>
      </c>
      <c r="I371">
        <v>24</v>
      </c>
      <c r="J371">
        <v>666</v>
      </c>
      <c r="K371">
        <v>20.2</v>
      </c>
      <c r="L371">
        <v>316.02999999999997</v>
      </c>
      <c r="M371">
        <v>14</v>
      </c>
      <c r="N371">
        <v>21.9</v>
      </c>
      <c r="O371">
        <f t="shared" si="7"/>
        <v>15.542862482794522</v>
      </c>
      <c r="P371">
        <f>Table1[[#This Row],[medv]]-Table1[[#This Row],[pred_medv]]</f>
        <v>6.3571375172054765</v>
      </c>
      <c r="Q371">
        <f>IF(Table1[[#This Row],[medv]]=0, "Undefined", ABS((N371-O371)/N371))*100</f>
        <v>29.02802519271907</v>
      </c>
      <c r="V371">
        <v>314</v>
      </c>
      <c r="W371">
        <v>25.545802460524492</v>
      </c>
      <c r="X371">
        <v>-3.9458024605244901</v>
      </c>
    </row>
    <row r="372" spans="1:24" x14ac:dyDescent="0.3">
      <c r="A372">
        <v>13.5222</v>
      </c>
      <c r="B372">
        <v>0</v>
      </c>
      <c r="C372">
        <v>18.100000000000001</v>
      </c>
      <c r="D372">
        <v>0</v>
      </c>
      <c r="E372">
        <v>0.63100000000000001</v>
      </c>
      <c r="F372">
        <v>3.863</v>
      </c>
      <c r="G372">
        <v>100</v>
      </c>
      <c r="H372">
        <v>1.5105999999999999</v>
      </c>
      <c r="I372">
        <v>24</v>
      </c>
      <c r="J372">
        <v>666</v>
      </c>
      <c r="K372">
        <v>20.2</v>
      </c>
      <c r="L372">
        <v>131.41999999999999</v>
      </c>
      <c r="M372">
        <v>13.33</v>
      </c>
      <c r="N372">
        <v>23.1</v>
      </c>
      <c r="O372">
        <f t="shared" si="7"/>
        <v>10.831623241057155</v>
      </c>
      <c r="P372">
        <f>Table1[[#This Row],[medv]]-Table1[[#This Row],[pred_medv]]</f>
        <v>12.268376758942846</v>
      </c>
      <c r="Q372">
        <f>IF(Table1[[#This Row],[medv]]=0, "Undefined", ABS((N372-O372)/N372))*100</f>
        <v>53.109856099319671</v>
      </c>
      <c r="V372">
        <v>315</v>
      </c>
      <c r="W372">
        <v>25.481200570924205</v>
      </c>
      <c r="X372">
        <v>-1.6812005709242044</v>
      </c>
    </row>
    <row r="373" spans="1:24" x14ac:dyDescent="0.3">
      <c r="A373">
        <v>4.8982200000000002</v>
      </c>
      <c r="B373">
        <v>0</v>
      </c>
      <c r="C373">
        <v>18.100000000000001</v>
      </c>
      <c r="D373">
        <v>0</v>
      </c>
      <c r="E373">
        <v>0.63100000000000001</v>
      </c>
      <c r="F373">
        <v>4.97</v>
      </c>
      <c r="G373">
        <v>100</v>
      </c>
      <c r="H373">
        <v>1.3325</v>
      </c>
      <c r="I373">
        <v>24</v>
      </c>
      <c r="J373">
        <v>666</v>
      </c>
      <c r="K373">
        <v>20.2</v>
      </c>
      <c r="L373">
        <v>375.52</v>
      </c>
      <c r="M373">
        <v>3.26</v>
      </c>
      <c r="N373">
        <v>50</v>
      </c>
      <c r="O373">
        <f t="shared" si="7"/>
        <v>23.800729022091584</v>
      </c>
      <c r="P373">
        <f>Table1[[#This Row],[medv]]-Table1[[#This Row],[pred_medv]]</f>
        <v>26.199270977908416</v>
      </c>
      <c r="Q373">
        <f>IF(Table1[[#This Row],[medv]]=0, "Undefined", ABS((N373-O373)/N373))*100</f>
        <v>52.398541955816839</v>
      </c>
      <c r="V373">
        <v>316</v>
      </c>
      <c r="W373">
        <v>20.539099011491079</v>
      </c>
      <c r="X373">
        <v>-4.3390990114910792</v>
      </c>
    </row>
    <row r="374" spans="1:24" x14ac:dyDescent="0.3">
      <c r="A374">
        <v>5.6699799999999998</v>
      </c>
      <c r="B374">
        <v>0</v>
      </c>
      <c r="C374">
        <v>18.100000000000001</v>
      </c>
      <c r="D374">
        <v>1</v>
      </c>
      <c r="E374">
        <v>0.63100000000000001</v>
      </c>
      <c r="F374">
        <v>6.6829999999999998</v>
      </c>
      <c r="G374">
        <v>96.8</v>
      </c>
      <c r="H374">
        <v>1.3567</v>
      </c>
      <c r="I374">
        <v>24</v>
      </c>
      <c r="J374">
        <v>666</v>
      </c>
      <c r="K374">
        <v>20.2</v>
      </c>
      <c r="L374">
        <v>375.33</v>
      </c>
      <c r="M374">
        <v>3.73</v>
      </c>
      <c r="N374">
        <v>50</v>
      </c>
      <c r="O374">
        <f t="shared" si="7"/>
        <v>32.644073601249801</v>
      </c>
      <c r="P374">
        <f>Table1[[#This Row],[medv]]-Table1[[#This Row],[pred_medv]]</f>
        <v>17.355926398750199</v>
      </c>
      <c r="Q374">
        <f>IF(Table1[[#This Row],[medv]]=0, "Undefined", ABS((N374-O374)/N374))*100</f>
        <v>34.711852797500399</v>
      </c>
      <c r="V374">
        <v>317</v>
      </c>
      <c r="W374">
        <v>17.615725728267222</v>
      </c>
      <c r="X374">
        <v>0.18427427173277877</v>
      </c>
    </row>
    <row r="375" spans="1:24" x14ac:dyDescent="0.3">
      <c r="A375">
        <v>6.5387599999999999</v>
      </c>
      <c r="B375">
        <v>0</v>
      </c>
      <c r="C375">
        <v>18.100000000000001</v>
      </c>
      <c r="D375">
        <v>1</v>
      </c>
      <c r="E375">
        <v>0.63100000000000001</v>
      </c>
      <c r="F375">
        <v>7.016</v>
      </c>
      <c r="G375">
        <v>97.5</v>
      </c>
      <c r="H375">
        <v>1.2023999999999999</v>
      </c>
      <c r="I375">
        <v>24</v>
      </c>
      <c r="J375">
        <v>666</v>
      </c>
      <c r="K375">
        <v>20.2</v>
      </c>
      <c r="L375">
        <v>392.05</v>
      </c>
      <c r="M375">
        <v>2.96</v>
      </c>
      <c r="N375">
        <v>50</v>
      </c>
      <c r="O375">
        <f t="shared" si="7"/>
        <v>34.606840424466739</v>
      </c>
      <c r="P375">
        <f>Table1[[#This Row],[medv]]-Table1[[#This Row],[pred_medv]]</f>
        <v>15.393159575533261</v>
      </c>
      <c r="Q375">
        <f>IF(Table1[[#This Row],[medv]]=0, "Undefined", ABS((N375-O375)/N375))*100</f>
        <v>30.786319151066522</v>
      </c>
      <c r="V375">
        <v>318</v>
      </c>
      <c r="W375">
        <v>18.375816864077187</v>
      </c>
      <c r="X375">
        <v>1.4241831359228136</v>
      </c>
    </row>
    <row r="376" spans="1:24" x14ac:dyDescent="0.3">
      <c r="A376">
        <v>9.2323000000000004</v>
      </c>
      <c r="B376">
        <v>0</v>
      </c>
      <c r="C376">
        <v>18.100000000000001</v>
      </c>
      <c r="D376">
        <v>0</v>
      </c>
      <c r="E376">
        <v>0.63100000000000001</v>
      </c>
      <c r="F376">
        <v>6.2160000000000002</v>
      </c>
      <c r="G376">
        <v>100</v>
      </c>
      <c r="H376">
        <v>1.1691</v>
      </c>
      <c r="I376">
        <v>24</v>
      </c>
      <c r="J376">
        <v>666</v>
      </c>
      <c r="K376">
        <v>20.2</v>
      </c>
      <c r="L376">
        <v>366.15</v>
      </c>
      <c r="M376">
        <v>9.5299999999999994</v>
      </c>
      <c r="N376">
        <v>50</v>
      </c>
      <c r="O376">
        <f t="shared" si="7"/>
        <v>24.943313325144285</v>
      </c>
      <c r="P376">
        <f>Table1[[#This Row],[medv]]-Table1[[#This Row],[pred_medv]]</f>
        <v>25.056686674855715</v>
      </c>
      <c r="Q376">
        <f>IF(Table1[[#This Row],[medv]]=0, "Undefined", ABS((N376-O376)/N376))*100</f>
        <v>50.113373349711431</v>
      </c>
      <c r="V376">
        <v>319</v>
      </c>
      <c r="W376">
        <v>24.290702769396923</v>
      </c>
      <c r="X376">
        <v>-1.1907027693969212</v>
      </c>
    </row>
    <row r="377" spans="1:24" x14ac:dyDescent="0.3">
      <c r="A377">
        <v>8.2672500000000007</v>
      </c>
      <c r="B377">
        <v>0</v>
      </c>
      <c r="C377">
        <v>18.100000000000001</v>
      </c>
      <c r="D377">
        <v>1</v>
      </c>
      <c r="E377">
        <v>0.66800000000000004</v>
      </c>
      <c r="F377">
        <v>5.875</v>
      </c>
      <c r="G377">
        <v>89.6</v>
      </c>
      <c r="H377">
        <v>1.1295999999999999</v>
      </c>
      <c r="I377">
        <v>24</v>
      </c>
      <c r="J377">
        <v>666</v>
      </c>
      <c r="K377">
        <v>20.2</v>
      </c>
      <c r="L377">
        <v>347.88</v>
      </c>
      <c r="M377">
        <v>8.8800000000000008</v>
      </c>
      <c r="N377">
        <v>50</v>
      </c>
      <c r="O377">
        <f t="shared" si="7"/>
        <v>25.999809100736002</v>
      </c>
      <c r="P377">
        <f>Table1[[#This Row],[medv]]-Table1[[#This Row],[pred_medv]]</f>
        <v>24.000190899263998</v>
      </c>
      <c r="Q377">
        <f>IF(Table1[[#This Row],[medv]]=0, "Undefined", ABS((N377-O377)/N377))*100</f>
        <v>48.000381798527997</v>
      </c>
      <c r="V377">
        <v>320</v>
      </c>
      <c r="W377">
        <v>21.325290391650242</v>
      </c>
      <c r="X377">
        <v>-0.32529039165024187</v>
      </c>
    </row>
    <row r="378" spans="1:24" x14ac:dyDescent="0.3">
      <c r="A378">
        <v>11.1081</v>
      </c>
      <c r="B378">
        <v>0</v>
      </c>
      <c r="C378">
        <v>18.100000000000001</v>
      </c>
      <c r="D378">
        <v>0</v>
      </c>
      <c r="E378">
        <v>0.66800000000000004</v>
      </c>
      <c r="F378">
        <v>4.9059999999999997</v>
      </c>
      <c r="G378">
        <v>100</v>
      </c>
      <c r="H378">
        <v>1.1741999999999999</v>
      </c>
      <c r="I378">
        <v>24</v>
      </c>
      <c r="J378">
        <v>666</v>
      </c>
      <c r="K378">
        <v>20.2</v>
      </c>
      <c r="L378">
        <v>396.9</v>
      </c>
      <c r="M378">
        <v>34.770000000000003</v>
      </c>
      <c r="N378">
        <v>13.8</v>
      </c>
      <c r="O378">
        <f t="shared" si="7"/>
        <v>6.1263249964308955</v>
      </c>
      <c r="P378">
        <f>Table1[[#This Row],[medv]]-Table1[[#This Row],[pred_medv]]</f>
        <v>7.6736750035691053</v>
      </c>
      <c r="Q378">
        <f>IF(Table1[[#This Row],[medv]]=0, "Undefined", ABS((N378-O378)/N378))*100</f>
        <v>55.606340605573223</v>
      </c>
      <c r="V378">
        <v>321</v>
      </c>
      <c r="W378">
        <v>24.886822440651539</v>
      </c>
      <c r="X378">
        <v>-1.0868224406515381</v>
      </c>
    </row>
    <row r="379" spans="1:24" x14ac:dyDescent="0.3">
      <c r="A379">
        <v>18.498200000000001</v>
      </c>
      <c r="B379">
        <v>0</v>
      </c>
      <c r="C379">
        <v>18.100000000000001</v>
      </c>
      <c r="D379">
        <v>0</v>
      </c>
      <c r="E379">
        <v>0.66800000000000004</v>
      </c>
      <c r="F379">
        <v>4.1379999999999999</v>
      </c>
      <c r="G379">
        <v>100</v>
      </c>
      <c r="H379">
        <v>1.137</v>
      </c>
      <c r="I379">
        <v>24</v>
      </c>
      <c r="J379">
        <v>666</v>
      </c>
      <c r="K379">
        <v>20.2</v>
      </c>
      <c r="L379">
        <v>396.9</v>
      </c>
      <c r="M379">
        <v>37.97</v>
      </c>
      <c r="N379">
        <v>13.8</v>
      </c>
      <c r="O379">
        <f t="shared" si="7"/>
        <v>0.77779805957047898</v>
      </c>
      <c r="P379">
        <f>Table1[[#This Row],[medv]]-Table1[[#This Row],[pred_medv]]</f>
        <v>13.022201940429522</v>
      </c>
      <c r="Q379">
        <f>IF(Table1[[#This Row],[medv]]=0, "Undefined", ABS((N379-O379)/N379))*100</f>
        <v>94.363782177025513</v>
      </c>
      <c r="V379">
        <v>322</v>
      </c>
      <c r="W379">
        <v>24.869372815387955</v>
      </c>
      <c r="X379">
        <v>-1.7693728153879533</v>
      </c>
    </row>
    <row r="380" spans="1:24" x14ac:dyDescent="0.3">
      <c r="A380">
        <v>19.609100000000002</v>
      </c>
      <c r="B380">
        <v>0</v>
      </c>
      <c r="C380">
        <v>18.100000000000001</v>
      </c>
      <c r="D380">
        <v>0</v>
      </c>
      <c r="E380">
        <v>0.67100000000000004</v>
      </c>
      <c r="F380">
        <v>7.3129999999999997</v>
      </c>
      <c r="G380">
        <v>97.9</v>
      </c>
      <c r="H380">
        <v>1.3163</v>
      </c>
      <c r="I380">
        <v>24</v>
      </c>
      <c r="J380">
        <v>666</v>
      </c>
      <c r="K380">
        <v>20.2</v>
      </c>
      <c r="L380">
        <v>396.9</v>
      </c>
      <c r="M380">
        <v>13.44</v>
      </c>
      <c r="N380">
        <v>15</v>
      </c>
      <c r="O380">
        <f t="shared" si="7"/>
        <v>25.307130641718228</v>
      </c>
      <c r="P380">
        <f>Table1[[#This Row],[medv]]-Table1[[#This Row],[pred_medv]]</f>
        <v>-10.307130641718228</v>
      </c>
      <c r="Q380">
        <f>IF(Table1[[#This Row],[medv]]=0, "Undefined", ABS((N380-O380)/N380))*100</f>
        <v>68.714204278121514</v>
      </c>
      <c r="V380">
        <v>323</v>
      </c>
      <c r="W380">
        <v>22.86952447434809</v>
      </c>
      <c r="X380">
        <v>-2.4695244743480913</v>
      </c>
    </row>
    <row r="381" spans="1:24" x14ac:dyDescent="0.3">
      <c r="A381">
        <v>15.288</v>
      </c>
      <c r="B381">
        <v>0</v>
      </c>
      <c r="C381">
        <v>18.100000000000001</v>
      </c>
      <c r="D381">
        <v>0</v>
      </c>
      <c r="E381">
        <v>0.67100000000000004</v>
      </c>
      <c r="F381">
        <v>6.649</v>
      </c>
      <c r="G381">
        <v>93.3</v>
      </c>
      <c r="H381">
        <v>1.3449</v>
      </c>
      <c r="I381">
        <v>24</v>
      </c>
      <c r="J381">
        <v>666</v>
      </c>
      <c r="K381">
        <v>20.2</v>
      </c>
      <c r="L381">
        <v>363.02</v>
      </c>
      <c r="M381">
        <v>23.24</v>
      </c>
      <c r="N381">
        <v>13.9</v>
      </c>
      <c r="O381">
        <f t="shared" si="7"/>
        <v>17.740610645315812</v>
      </c>
      <c r="P381">
        <f>Table1[[#This Row],[medv]]-Table1[[#This Row],[pred_medv]]</f>
        <v>-3.8406106453158113</v>
      </c>
      <c r="Q381">
        <f>IF(Table1[[#This Row],[medv]]=0, "Undefined", ABS((N381-O381)/N381))*100</f>
        <v>27.630292412343966</v>
      </c>
      <c r="V381">
        <v>324</v>
      </c>
      <c r="W381">
        <v>19.451237906152851</v>
      </c>
      <c r="X381">
        <v>-0.95123790615285131</v>
      </c>
    </row>
    <row r="382" spans="1:24" x14ac:dyDescent="0.3">
      <c r="A382">
        <v>9.8234899999999996</v>
      </c>
      <c r="B382">
        <v>0</v>
      </c>
      <c r="C382">
        <v>18.100000000000001</v>
      </c>
      <c r="D382">
        <v>0</v>
      </c>
      <c r="E382">
        <v>0.67100000000000004</v>
      </c>
      <c r="F382">
        <v>6.7939999999999996</v>
      </c>
      <c r="G382">
        <v>98.8</v>
      </c>
      <c r="H382">
        <v>1.3580000000000001</v>
      </c>
      <c r="I382">
        <v>24</v>
      </c>
      <c r="J382">
        <v>666</v>
      </c>
      <c r="K382">
        <v>20.2</v>
      </c>
      <c r="L382">
        <v>396.9</v>
      </c>
      <c r="M382">
        <v>21.24</v>
      </c>
      <c r="N382">
        <v>13.3</v>
      </c>
      <c r="O382">
        <f t="shared" si="7"/>
        <v>20.232744140187549</v>
      </c>
      <c r="P382">
        <f>Table1[[#This Row],[medv]]-Table1[[#This Row],[pred_medv]]</f>
        <v>-6.9327441401875483</v>
      </c>
      <c r="Q382">
        <f>IF(Table1[[#This Row],[medv]]=0, "Undefined", ABS((N382-O382)/N382))*100</f>
        <v>52.125895790883817</v>
      </c>
      <c r="V382">
        <v>325</v>
      </c>
      <c r="W382">
        <v>25.11783401137729</v>
      </c>
      <c r="X382">
        <v>-0.11783401137729044</v>
      </c>
    </row>
    <row r="383" spans="1:24" x14ac:dyDescent="0.3">
      <c r="A383">
        <v>23.648199999999999</v>
      </c>
      <c r="B383">
        <v>0</v>
      </c>
      <c r="C383">
        <v>18.100000000000001</v>
      </c>
      <c r="D383">
        <v>0</v>
      </c>
      <c r="E383">
        <v>0.67100000000000004</v>
      </c>
      <c r="F383">
        <v>6.38</v>
      </c>
      <c r="G383">
        <v>96.2</v>
      </c>
      <c r="H383">
        <v>1.3861000000000001</v>
      </c>
      <c r="I383">
        <v>24</v>
      </c>
      <c r="J383">
        <v>666</v>
      </c>
      <c r="K383">
        <v>20.2</v>
      </c>
      <c r="L383">
        <v>396.9</v>
      </c>
      <c r="M383">
        <v>23.69</v>
      </c>
      <c r="N383">
        <v>13.1</v>
      </c>
      <c r="O383">
        <f t="shared" si="7"/>
        <v>15.833313007596377</v>
      </c>
      <c r="P383">
        <f>Table1[[#This Row],[medv]]-Table1[[#This Row],[pred_medv]]</f>
        <v>-2.7333130075963776</v>
      </c>
      <c r="Q383">
        <f>IF(Table1[[#This Row],[medv]]=0, "Undefined", ABS((N383-O383)/N383))*100</f>
        <v>20.864984790812045</v>
      </c>
      <c r="V383">
        <v>326</v>
      </c>
      <c r="W383">
        <v>24.667869132256513</v>
      </c>
      <c r="X383">
        <v>-6.7869132256511477E-2</v>
      </c>
    </row>
    <row r="384" spans="1:24" x14ac:dyDescent="0.3">
      <c r="A384">
        <v>17.866700000000002</v>
      </c>
      <c r="B384">
        <v>0</v>
      </c>
      <c r="C384">
        <v>18.100000000000001</v>
      </c>
      <c r="D384">
        <v>0</v>
      </c>
      <c r="E384">
        <v>0.67100000000000004</v>
      </c>
      <c r="F384">
        <v>6.2229999999999999</v>
      </c>
      <c r="G384">
        <v>100</v>
      </c>
      <c r="H384">
        <v>1.3861000000000001</v>
      </c>
      <c r="I384">
        <v>24</v>
      </c>
      <c r="J384">
        <v>666</v>
      </c>
      <c r="K384">
        <v>20.2</v>
      </c>
      <c r="L384">
        <v>393.74</v>
      </c>
      <c r="M384">
        <v>21.78</v>
      </c>
      <c r="N384">
        <v>10.199999999999999</v>
      </c>
      <c r="O384">
        <f t="shared" si="7"/>
        <v>16.835125871652878</v>
      </c>
      <c r="P384">
        <f>Table1[[#This Row],[medv]]-Table1[[#This Row],[pred_medv]]</f>
        <v>-6.6351258716528783</v>
      </c>
      <c r="Q384">
        <f>IF(Table1[[#This Row],[medv]]=0, "Undefined", ABS((N384-O384)/N384))*100</f>
        <v>65.05025364365568</v>
      </c>
      <c r="V384">
        <v>327</v>
      </c>
      <c r="W384">
        <v>23.680761770727187</v>
      </c>
      <c r="X384">
        <v>-0.68076177072718735</v>
      </c>
    </row>
    <row r="385" spans="1:24" x14ac:dyDescent="0.3">
      <c r="A385">
        <v>88.976200000000006</v>
      </c>
      <c r="B385">
        <v>0</v>
      </c>
      <c r="C385">
        <v>18.100000000000001</v>
      </c>
      <c r="D385">
        <v>0</v>
      </c>
      <c r="E385">
        <v>0.67100000000000004</v>
      </c>
      <c r="F385">
        <v>6.968</v>
      </c>
      <c r="G385">
        <v>91.9</v>
      </c>
      <c r="H385">
        <v>1.4165000000000001</v>
      </c>
      <c r="I385">
        <v>24</v>
      </c>
      <c r="J385">
        <v>666</v>
      </c>
      <c r="K385">
        <v>20.2</v>
      </c>
      <c r="L385">
        <v>396.9</v>
      </c>
      <c r="M385">
        <v>17.21</v>
      </c>
      <c r="N385">
        <v>10.4</v>
      </c>
      <c r="O385">
        <f t="shared" si="7"/>
        <v>14.36994825488177</v>
      </c>
      <c r="P385">
        <f>Table1[[#This Row],[medv]]-Table1[[#This Row],[pred_medv]]</f>
        <v>-3.9699482548817695</v>
      </c>
      <c r="Q385">
        <f>IF(Table1[[#This Row],[medv]]=0, "Undefined", ABS((N385-O385)/N385))*100</f>
        <v>38.172579373863172</v>
      </c>
      <c r="V385">
        <v>328</v>
      </c>
      <c r="W385">
        <v>19.34089616326786</v>
      </c>
      <c r="X385">
        <v>2.8591038367321389</v>
      </c>
    </row>
    <row r="386" spans="1:24" x14ac:dyDescent="0.3">
      <c r="A386">
        <v>15.8744</v>
      </c>
      <c r="B386">
        <v>0</v>
      </c>
      <c r="C386">
        <v>18.100000000000001</v>
      </c>
      <c r="D386">
        <v>0</v>
      </c>
      <c r="E386">
        <v>0.67100000000000004</v>
      </c>
      <c r="F386">
        <v>6.5449999999999999</v>
      </c>
      <c r="G386">
        <v>99.1</v>
      </c>
      <c r="H386">
        <v>1.5192000000000001</v>
      </c>
      <c r="I386">
        <v>24</v>
      </c>
      <c r="J386">
        <v>666</v>
      </c>
      <c r="K386">
        <v>20.2</v>
      </c>
      <c r="L386">
        <v>396.9</v>
      </c>
      <c r="M386">
        <v>21.08</v>
      </c>
      <c r="N386">
        <v>10.9</v>
      </c>
      <c r="O386">
        <f t="shared" si="7"/>
        <v>18.476828330782023</v>
      </c>
      <c r="P386">
        <f>Table1[[#This Row],[medv]]-Table1[[#This Row],[pred_medv]]</f>
        <v>-7.576828330782023</v>
      </c>
      <c r="Q386">
        <f>IF(Table1[[#This Row],[medv]]=0, "Undefined", ABS((N386-O386)/N386))*100</f>
        <v>69.512186520935998</v>
      </c>
      <c r="V386">
        <v>329</v>
      </c>
      <c r="W386">
        <v>21.174181054134383</v>
      </c>
      <c r="X386">
        <v>-1.8741810541343824</v>
      </c>
    </row>
    <row r="387" spans="1:24" x14ac:dyDescent="0.3">
      <c r="A387">
        <v>9.1870200000000004</v>
      </c>
      <c r="B387">
        <v>0</v>
      </c>
      <c r="C387">
        <v>18.100000000000001</v>
      </c>
      <c r="D387">
        <v>0</v>
      </c>
      <c r="E387">
        <v>0.7</v>
      </c>
      <c r="F387">
        <v>5.5359999999999996</v>
      </c>
      <c r="G387">
        <v>100</v>
      </c>
      <c r="H387">
        <v>1.5804</v>
      </c>
      <c r="I387">
        <v>24</v>
      </c>
      <c r="J387">
        <v>666</v>
      </c>
      <c r="K387">
        <v>20.2</v>
      </c>
      <c r="L387">
        <v>396.9</v>
      </c>
      <c r="M387">
        <v>23.6</v>
      </c>
      <c r="N387">
        <v>11.3</v>
      </c>
      <c r="O387">
        <f t="shared" si="7"/>
        <v>13.427682804691202</v>
      </c>
      <c r="P387">
        <f>Table1[[#This Row],[medv]]-Table1[[#This Row],[pred_medv]]</f>
        <v>-2.1276828046912009</v>
      </c>
      <c r="Q387">
        <f>IF(Table1[[#This Row],[medv]]=0, "Undefined", ABS((N387-O387)/N387))*100</f>
        <v>18.829051368948679</v>
      </c>
      <c r="V387">
        <v>330</v>
      </c>
      <c r="W387">
        <v>24.252490734931225</v>
      </c>
      <c r="X387">
        <v>-1.6524907349312237</v>
      </c>
    </row>
    <row r="388" spans="1:24" x14ac:dyDescent="0.3">
      <c r="A388">
        <v>7.9924799999999996</v>
      </c>
      <c r="B388">
        <v>0</v>
      </c>
      <c r="C388">
        <v>18.100000000000001</v>
      </c>
      <c r="D388">
        <v>0</v>
      </c>
      <c r="E388">
        <v>0.7</v>
      </c>
      <c r="F388">
        <v>5.52</v>
      </c>
      <c r="G388">
        <v>100</v>
      </c>
      <c r="H388">
        <v>1.5330999999999999</v>
      </c>
      <c r="I388">
        <v>24</v>
      </c>
      <c r="J388">
        <v>666</v>
      </c>
      <c r="K388">
        <v>20.2</v>
      </c>
      <c r="L388">
        <v>396.9</v>
      </c>
      <c r="M388">
        <v>24.56</v>
      </c>
      <c r="N388">
        <v>12.3</v>
      </c>
      <c r="O388">
        <f t="shared" si="7"/>
        <v>13.061775117828244</v>
      </c>
      <c r="P388">
        <f>Table1[[#This Row],[medv]]-Table1[[#This Row],[pred_medv]]</f>
        <v>-0.76177511782824325</v>
      </c>
      <c r="Q388">
        <f>IF(Table1[[#This Row],[medv]]=0, "Undefined", ABS((N388-O388)/N388))*100</f>
        <v>6.1932936408800261</v>
      </c>
      <c r="V388">
        <v>331</v>
      </c>
      <c r="W388">
        <v>21.592608938614614</v>
      </c>
      <c r="X388">
        <v>-1.7926089386146131</v>
      </c>
    </row>
    <row r="389" spans="1:24" x14ac:dyDescent="0.3">
      <c r="A389">
        <v>20.084900000000001</v>
      </c>
      <c r="B389">
        <v>0</v>
      </c>
      <c r="C389">
        <v>18.100000000000001</v>
      </c>
      <c r="D389">
        <v>0</v>
      </c>
      <c r="E389">
        <v>0.7</v>
      </c>
      <c r="F389">
        <v>4.3680000000000003</v>
      </c>
      <c r="G389">
        <v>91.2</v>
      </c>
      <c r="H389">
        <v>1.4395</v>
      </c>
      <c r="I389">
        <v>24</v>
      </c>
      <c r="J389">
        <v>666</v>
      </c>
      <c r="K389">
        <v>20.2</v>
      </c>
      <c r="L389">
        <v>285.83</v>
      </c>
      <c r="M389">
        <v>30.63</v>
      </c>
      <c r="N389">
        <v>8.8000000000000007</v>
      </c>
      <c r="O389">
        <f t="shared" ref="O389:O452" si="8">A$2+SUMPRODUCT(B$2:N$2, A389:M389)</f>
        <v>3.2791811609612438</v>
      </c>
      <c r="P389">
        <f>Table1[[#This Row],[medv]]-Table1[[#This Row],[pred_medv]]</f>
        <v>5.5208188390387569</v>
      </c>
      <c r="Q389">
        <f>IF(Table1[[#This Row],[medv]]=0, "Undefined", ABS((N389-O389)/N389))*100</f>
        <v>62.736577716349508</v>
      </c>
      <c r="V389">
        <v>332</v>
      </c>
      <c r="W389">
        <v>19.984466053889896</v>
      </c>
      <c r="X389">
        <v>-2.884466053889895</v>
      </c>
    </row>
    <row r="390" spans="1:24" x14ac:dyDescent="0.3">
      <c r="A390">
        <v>16.811800000000002</v>
      </c>
      <c r="B390">
        <v>0</v>
      </c>
      <c r="C390">
        <v>18.100000000000001</v>
      </c>
      <c r="D390">
        <v>0</v>
      </c>
      <c r="E390">
        <v>0.7</v>
      </c>
      <c r="F390">
        <v>5.2770000000000001</v>
      </c>
      <c r="G390">
        <v>98.1</v>
      </c>
      <c r="H390">
        <v>1.4260999999999999</v>
      </c>
      <c r="I390">
        <v>24</v>
      </c>
      <c r="J390">
        <v>666</v>
      </c>
      <c r="K390">
        <v>20.2</v>
      </c>
      <c r="L390">
        <v>396.9</v>
      </c>
      <c r="M390">
        <v>30.81</v>
      </c>
      <c r="N390">
        <v>7.2</v>
      </c>
      <c r="O390">
        <f t="shared" si="8"/>
        <v>8.0602217082421532</v>
      </c>
      <c r="P390">
        <f>Table1[[#This Row],[medv]]-Table1[[#This Row],[pred_medv]]</f>
        <v>-0.86022170824215305</v>
      </c>
      <c r="Q390">
        <f>IF(Table1[[#This Row],[medv]]=0, "Undefined", ABS((N390-O390)/N390))*100</f>
        <v>11.947523725585459</v>
      </c>
      <c r="V390">
        <v>333</v>
      </c>
      <c r="W390">
        <v>23.33887999780546</v>
      </c>
      <c r="X390">
        <v>-3.9388799978054614</v>
      </c>
    </row>
    <row r="391" spans="1:24" x14ac:dyDescent="0.3">
      <c r="A391">
        <v>24.393799999999999</v>
      </c>
      <c r="B391">
        <v>0</v>
      </c>
      <c r="C391">
        <v>18.100000000000001</v>
      </c>
      <c r="D391">
        <v>0</v>
      </c>
      <c r="E391">
        <v>0.7</v>
      </c>
      <c r="F391">
        <v>4.6520000000000001</v>
      </c>
      <c r="G391">
        <v>100</v>
      </c>
      <c r="H391">
        <v>1.4672000000000001</v>
      </c>
      <c r="I391">
        <v>24</v>
      </c>
      <c r="J391">
        <v>666</v>
      </c>
      <c r="K391">
        <v>20.2</v>
      </c>
      <c r="L391">
        <v>396.9</v>
      </c>
      <c r="M391">
        <v>28.28</v>
      </c>
      <c r="N391">
        <v>10.5</v>
      </c>
      <c r="O391">
        <f t="shared" si="8"/>
        <v>6.1284219643046747</v>
      </c>
      <c r="P391">
        <f>Table1[[#This Row],[medv]]-Table1[[#This Row],[pred_medv]]</f>
        <v>4.3715780356953253</v>
      </c>
      <c r="Q391">
        <f>IF(Table1[[#This Row],[medv]]=0, "Undefined", ABS((N391-O391)/N391))*100</f>
        <v>41.63407653043167</v>
      </c>
      <c r="V391">
        <v>334</v>
      </c>
      <c r="W391">
        <v>22.140606924958053</v>
      </c>
      <c r="X391">
        <v>5.939307504194602E-2</v>
      </c>
    </row>
    <row r="392" spans="1:24" x14ac:dyDescent="0.3">
      <c r="A392">
        <v>22.597100000000001</v>
      </c>
      <c r="B392">
        <v>0</v>
      </c>
      <c r="C392">
        <v>18.100000000000001</v>
      </c>
      <c r="D392">
        <v>0</v>
      </c>
      <c r="E392">
        <v>0.7</v>
      </c>
      <c r="F392">
        <v>5</v>
      </c>
      <c r="G392">
        <v>89.5</v>
      </c>
      <c r="H392">
        <v>1.5184</v>
      </c>
      <c r="I392">
        <v>24</v>
      </c>
      <c r="J392">
        <v>666</v>
      </c>
      <c r="K392">
        <v>20.2</v>
      </c>
      <c r="L392">
        <v>396.9</v>
      </c>
      <c r="M392">
        <v>31.99</v>
      </c>
      <c r="N392">
        <v>7.4</v>
      </c>
      <c r="O392">
        <f t="shared" si="8"/>
        <v>5.6186480998374364</v>
      </c>
      <c r="P392">
        <f>Table1[[#This Row],[medv]]-Table1[[#This Row],[pred_medv]]</f>
        <v>1.781351900162564</v>
      </c>
      <c r="Q392">
        <f>IF(Table1[[#This Row],[medv]]=0, "Undefined", ABS((N392-O392)/N392))*100</f>
        <v>24.072322975169783</v>
      </c>
      <c r="V392">
        <v>335</v>
      </c>
      <c r="W392">
        <v>21.555099290215988</v>
      </c>
      <c r="X392">
        <v>-0.85509929021598907</v>
      </c>
    </row>
    <row r="393" spans="1:24" x14ac:dyDescent="0.3">
      <c r="A393">
        <v>14.3337</v>
      </c>
      <c r="B393">
        <v>0</v>
      </c>
      <c r="C393">
        <v>18.100000000000001</v>
      </c>
      <c r="D393">
        <v>0</v>
      </c>
      <c r="E393">
        <v>0.7</v>
      </c>
      <c r="F393">
        <v>4.88</v>
      </c>
      <c r="G393">
        <v>100</v>
      </c>
      <c r="H393">
        <v>1.5894999999999999</v>
      </c>
      <c r="I393">
        <v>24</v>
      </c>
      <c r="J393">
        <v>666</v>
      </c>
      <c r="K393">
        <v>20.2</v>
      </c>
      <c r="L393">
        <v>372.92</v>
      </c>
      <c r="M393">
        <v>30.62</v>
      </c>
      <c r="N393">
        <v>10.199999999999999</v>
      </c>
      <c r="O393">
        <f t="shared" si="8"/>
        <v>6.4519856981268013</v>
      </c>
      <c r="P393">
        <f>Table1[[#This Row],[medv]]-Table1[[#This Row],[pred_medv]]</f>
        <v>3.748014301873198</v>
      </c>
      <c r="Q393">
        <f>IF(Table1[[#This Row],[medv]]=0, "Undefined", ABS((N393-O393)/N393))*100</f>
        <v>36.745238253658805</v>
      </c>
      <c r="V393">
        <v>336</v>
      </c>
      <c r="W393">
        <v>20.618729067976734</v>
      </c>
      <c r="X393">
        <v>0.48127093202326776</v>
      </c>
    </row>
    <row r="394" spans="1:24" x14ac:dyDescent="0.3">
      <c r="A394">
        <v>8.1517400000000002</v>
      </c>
      <c r="B394">
        <v>0</v>
      </c>
      <c r="C394">
        <v>18.100000000000001</v>
      </c>
      <c r="D394">
        <v>0</v>
      </c>
      <c r="E394">
        <v>0.7</v>
      </c>
      <c r="F394">
        <v>5.39</v>
      </c>
      <c r="G394">
        <v>98.9</v>
      </c>
      <c r="H394">
        <v>1.7281</v>
      </c>
      <c r="I394">
        <v>24</v>
      </c>
      <c r="J394">
        <v>666</v>
      </c>
      <c r="K394">
        <v>20.2</v>
      </c>
      <c r="L394">
        <v>396.9</v>
      </c>
      <c r="M394">
        <v>20.85</v>
      </c>
      <c r="N394">
        <v>11.5</v>
      </c>
      <c r="O394">
        <f t="shared" si="8"/>
        <v>14.207647351941397</v>
      </c>
      <c r="P394">
        <f>Table1[[#This Row],[medv]]-Table1[[#This Row],[pred_medv]]</f>
        <v>-2.7076473519413966</v>
      </c>
      <c r="Q394">
        <f>IF(Table1[[#This Row],[medv]]=0, "Undefined", ABS((N394-O394)/N394))*100</f>
        <v>23.5447595820991</v>
      </c>
      <c r="V394">
        <v>337</v>
      </c>
      <c r="W394">
        <v>20.160971763230091</v>
      </c>
      <c r="X394">
        <v>-0.66097176323009066</v>
      </c>
    </row>
    <row r="395" spans="1:24" x14ac:dyDescent="0.3">
      <c r="A395">
        <v>6.9621500000000003</v>
      </c>
      <c r="B395">
        <v>0</v>
      </c>
      <c r="C395">
        <v>18.100000000000001</v>
      </c>
      <c r="D395">
        <v>0</v>
      </c>
      <c r="E395">
        <v>0.7</v>
      </c>
      <c r="F395">
        <v>5.7130000000000001</v>
      </c>
      <c r="G395">
        <v>97</v>
      </c>
      <c r="H395">
        <v>1.9265000000000001</v>
      </c>
      <c r="I395">
        <v>24</v>
      </c>
      <c r="J395">
        <v>666</v>
      </c>
      <c r="K395">
        <v>20.2</v>
      </c>
      <c r="L395">
        <v>394.43</v>
      </c>
      <c r="M395">
        <v>17.11</v>
      </c>
      <c r="N395">
        <v>15.1</v>
      </c>
      <c r="O395">
        <f t="shared" si="8"/>
        <v>17.212251831419358</v>
      </c>
      <c r="P395">
        <f>Table1[[#This Row],[medv]]-Table1[[#This Row],[pred_medv]]</f>
        <v>-2.1122518314193588</v>
      </c>
      <c r="Q395">
        <f>IF(Table1[[#This Row],[medv]]=0, "Undefined", ABS((N395-O395)/N395))*100</f>
        <v>13.988422724631516</v>
      </c>
      <c r="V395">
        <v>338</v>
      </c>
      <c r="W395">
        <v>19.28490387292662</v>
      </c>
      <c r="X395">
        <v>-0.78490387292661978</v>
      </c>
    </row>
    <row r="396" spans="1:24" x14ac:dyDescent="0.3">
      <c r="A396">
        <v>5.29305</v>
      </c>
      <c r="B396">
        <v>0</v>
      </c>
      <c r="C396">
        <v>18.100000000000001</v>
      </c>
      <c r="D396">
        <v>0</v>
      </c>
      <c r="E396">
        <v>0.7</v>
      </c>
      <c r="F396">
        <v>6.0510000000000002</v>
      </c>
      <c r="G396">
        <v>82.5</v>
      </c>
      <c r="H396">
        <v>2.1678000000000002</v>
      </c>
      <c r="I396">
        <v>24</v>
      </c>
      <c r="J396">
        <v>666</v>
      </c>
      <c r="K396">
        <v>20.2</v>
      </c>
      <c r="L396">
        <v>378.38</v>
      </c>
      <c r="M396">
        <v>18.760000000000002</v>
      </c>
      <c r="N396">
        <v>23.2</v>
      </c>
      <c r="O396">
        <f t="shared" si="8"/>
        <v>17.298872651551985</v>
      </c>
      <c r="P396">
        <f>Table1[[#This Row],[medv]]-Table1[[#This Row],[pred_medv]]</f>
        <v>5.9011273484480142</v>
      </c>
      <c r="Q396">
        <f>IF(Table1[[#This Row],[medv]]=0, "Undefined", ABS((N396-O396)/N396))*100</f>
        <v>25.435893743310405</v>
      </c>
      <c r="V396">
        <v>339</v>
      </c>
      <c r="W396">
        <v>22.166723204271172</v>
      </c>
      <c r="X396">
        <v>-1.5667232042711703</v>
      </c>
    </row>
    <row r="397" spans="1:24" x14ac:dyDescent="0.3">
      <c r="A397">
        <v>11.5779</v>
      </c>
      <c r="B397">
        <v>0</v>
      </c>
      <c r="C397">
        <v>18.100000000000001</v>
      </c>
      <c r="D397">
        <v>0</v>
      </c>
      <c r="E397">
        <v>0.7</v>
      </c>
      <c r="F397">
        <v>5.0359999999999996</v>
      </c>
      <c r="G397">
        <v>97</v>
      </c>
      <c r="H397">
        <v>1.77</v>
      </c>
      <c r="I397">
        <v>24</v>
      </c>
      <c r="J397">
        <v>666</v>
      </c>
      <c r="K397">
        <v>20.2</v>
      </c>
      <c r="L397">
        <v>396.9</v>
      </c>
      <c r="M397">
        <v>25.68</v>
      </c>
      <c r="N397">
        <v>9.6999999999999993</v>
      </c>
      <c r="O397">
        <f t="shared" si="8"/>
        <v>9.8911664322754973</v>
      </c>
      <c r="P397">
        <f>Table1[[#This Row],[medv]]-Table1[[#This Row],[pred_medv]]</f>
        <v>-0.19116643227549801</v>
      </c>
      <c r="Q397">
        <f>IF(Table1[[#This Row],[medv]]=0, "Undefined", ABS((N397-O397)/N397))*100</f>
        <v>1.9707879616030723</v>
      </c>
      <c r="V397">
        <v>340</v>
      </c>
      <c r="W397">
        <v>21.249657744229712</v>
      </c>
      <c r="X397">
        <v>-2.2496577442297117</v>
      </c>
    </row>
    <row r="398" spans="1:24" x14ac:dyDescent="0.3">
      <c r="A398">
        <v>8.6447599999999998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6.1929999999999996</v>
      </c>
      <c r="G398">
        <v>92.6</v>
      </c>
      <c r="H398">
        <v>1.7911999999999999</v>
      </c>
      <c r="I398">
        <v>24</v>
      </c>
      <c r="J398">
        <v>666</v>
      </c>
      <c r="K398">
        <v>20.2</v>
      </c>
      <c r="L398">
        <v>396.9</v>
      </c>
      <c r="M398">
        <v>15.17</v>
      </c>
      <c r="N398">
        <v>13.8</v>
      </c>
      <c r="O398">
        <f t="shared" si="8"/>
        <v>20.221241934994225</v>
      </c>
      <c r="P398">
        <f>Table1[[#This Row],[medv]]-Table1[[#This Row],[pred_medv]]</f>
        <v>-6.4212419349942245</v>
      </c>
      <c r="Q398">
        <f>IF(Table1[[#This Row],[medv]]=0, "Undefined", ABS((N398-O398)/N398))*100</f>
        <v>46.530738659378436</v>
      </c>
      <c r="V398">
        <v>341</v>
      </c>
      <c r="W398">
        <v>21.429393054257172</v>
      </c>
      <c r="X398">
        <v>-2.7293930542571729</v>
      </c>
    </row>
    <row r="399" spans="1:24" x14ac:dyDescent="0.3">
      <c r="A399">
        <v>13.3598</v>
      </c>
      <c r="B399">
        <v>0</v>
      </c>
      <c r="C399">
        <v>18.100000000000001</v>
      </c>
      <c r="D399">
        <v>0</v>
      </c>
      <c r="E399">
        <v>0.69299999999999995</v>
      </c>
      <c r="F399">
        <v>5.8869999999999996</v>
      </c>
      <c r="G399">
        <v>94.7</v>
      </c>
      <c r="H399">
        <v>1.7821</v>
      </c>
      <c r="I399">
        <v>24</v>
      </c>
      <c r="J399">
        <v>666</v>
      </c>
      <c r="K399">
        <v>20.2</v>
      </c>
      <c r="L399">
        <v>396.9</v>
      </c>
      <c r="M399">
        <v>16.350000000000001</v>
      </c>
      <c r="N399">
        <v>12.7</v>
      </c>
      <c r="O399">
        <f t="shared" si="8"/>
        <v>17.941811753226006</v>
      </c>
      <c r="P399">
        <f>Table1[[#This Row],[medv]]-Table1[[#This Row],[pred_medv]]</f>
        <v>-5.2418117532260062</v>
      </c>
      <c r="Q399">
        <f>IF(Table1[[#This Row],[medv]]=0, "Undefined", ABS((N399-O399)/N399))*100</f>
        <v>41.274108293118161</v>
      </c>
      <c r="V399">
        <v>342</v>
      </c>
      <c r="W399">
        <v>30.32788796024489</v>
      </c>
      <c r="X399">
        <v>2.3721120397551125</v>
      </c>
    </row>
    <row r="400" spans="1:24" x14ac:dyDescent="0.3">
      <c r="A400">
        <v>8.7167499999999993</v>
      </c>
      <c r="B400">
        <v>0</v>
      </c>
      <c r="C400">
        <v>18.100000000000001</v>
      </c>
      <c r="D400">
        <v>0</v>
      </c>
      <c r="E400">
        <v>0.69299999999999995</v>
      </c>
      <c r="F400">
        <v>6.4710000000000001</v>
      </c>
      <c r="G400">
        <v>98.8</v>
      </c>
      <c r="H400">
        <v>1.7257</v>
      </c>
      <c r="I400">
        <v>24</v>
      </c>
      <c r="J400">
        <v>666</v>
      </c>
      <c r="K400">
        <v>20.2</v>
      </c>
      <c r="L400">
        <v>391.98</v>
      </c>
      <c r="M400">
        <v>17.12</v>
      </c>
      <c r="N400">
        <v>13.1</v>
      </c>
      <c r="O400">
        <f t="shared" si="8"/>
        <v>20.304457827468202</v>
      </c>
      <c r="P400">
        <f>Table1[[#This Row],[medv]]-Table1[[#This Row],[pred_medv]]</f>
        <v>-7.2044578274682021</v>
      </c>
      <c r="Q400">
        <f>IF(Table1[[#This Row],[medv]]=0, "Undefined", ABS((N400-O400)/N400))*100</f>
        <v>54.995861278383217</v>
      </c>
      <c r="V400">
        <v>343</v>
      </c>
      <c r="W400">
        <v>22.047349750857567</v>
      </c>
      <c r="X400">
        <v>-5.5473497508575669</v>
      </c>
    </row>
    <row r="401" spans="1:24" x14ac:dyDescent="0.3">
      <c r="A401">
        <v>5.8720499999999998</v>
      </c>
      <c r="B401">
        <v>0</v>
      </c>
      <c r="C401">
        <v>18.100000000000001</v>
      </c>
      <c r="D401">
        <v>0</v>
      </c>
      <c r="E401">
        <v>0.69299999999999995</v>
      </c>
      <c r="F401">
        <v>6.4050000000000002</v>
      </c>
      <c r="G401">
        <v>96</v>
      </c>
      <c r="H401">
        <v>1.6768000000000001</v>
      </c>
      <c r="I401">
        <v>24</v>
      </c>
      <c r="J401">
        <v>666</v>
      </c>
      <c r="K401">
        <v>20.2</v>
      </c>
      <c r="L401">
        <v>396.9</v>
      </c>
      <c r="M401">
        <v>19.37</v>
      </c>
      <c r="N401">
        <v>12.5</v>
      </c>
      <c r="O401">
        <f t="shared" si="8"/>
        <v>19.295590754746236</v>
      </c>
      <c r="P401">
        <f>Table1[[#This Row],[medv]]-Table1[[#This Row],[pred_medv]]</f>
        <v>-6.795590754746236</v>
      </c>
      <c r="Q401">
        <f>IF(Table1[[#This Row],[medv]]=0, "Undefined", ABS((N401-O401)/N401))*100</f>
        <v>54.364726037969888</v>
      </c>
      <c r="V401">
        <v>344</v>
      </c>
      <c r="W401">
        <v>27.706479124564975</v>
      </c>
      <c r="X401">
        <v>-3.8064791245649765</v>
      </c>
    </row>
    <row r="402" spans="1:24" x14ac:dyDescent="0.3">
      <c r="A402">
        <v>7.6720199999999998</v>
      </c>
      <c r="B402">
        <v>0</v>
      </c>
      <c r="C402">
        <v>18.100000000000001</v>
      </c>
      <c r="D402">
        <v>0</v>
      </c>
      <c r="E402">
        <v>0.69299999999999995</v>
      </c>
      <c r="F402">
        <v>5.7469999999999999</v>
      </c>
      <c r="G402">
        <v>98.9</v>
      </c>
      <c r="H402">
        <v>1.6334</v>
      </c>
      <c r="I402">
        <v>24</v>
      </c>
      <c r="J402">
        <v>666</v>
      </c>
      <c r="K402">
        <v>20.2</v>
      </c>
      <c r="L402">
        <v>393.1</v>
      </c>
      <c r="M402">
        <v>19.920000000000002</v>
      </c>
      <c r="N402">
        <v>8.5</v>
      </c>
      <c r="O402">
        <f t="shared" si="8"/>
        <v>16.336327793195387</v>
      </c>
      <c r="P402">
        <f>Table1[[#This Row],[medv]]-Table1[[#This Row],[pred_medv]]</f>
        <v>-7.8363277931953874</v>
      </c>
      <c r="Q402">
        <f>IF(Table1[[#This Row],[medv]]=0, "Undefined", ABS((N402-O402)/N402))*100</f>
        <v>92.192091684651615</v>
      </c>
      <c r="V402">
        <v>345</v>
      </c>
      <c r="W402">
        <v>28.547941168159575</v>
      </c>
      <c r="X402">
        <v>2.6520588318404243</v>
      </c>
    </row>
    <row r="403" spans="1:24" x14ac:dyDescent="0.3">
      <c r="A403">
        <v>38.351799999999997</v>
      </c>
      <c r="B403">
        <v>0</v>
      </c>
      <c r="C403">
        <v>18.100000000000001</v>
      </c>
      <c r="D403">
        <v>0</v>
      </c>
      <c r="E403">
        <v>0.69299999999999995</v>
      </c>
      <c r="F403">
        <v>5.4530000000000003</v>
      </c>
      <c r="G403">
        <v>100</v>
      </c>
      <c r="H403">
        <v>1.4896</v>
      </c>
      <c r="I403">
        <v>24</v>
      </c>
      <c r="J403">
        <v>666</v>
      </c>
      <c r="K403">
        <v>20.2</v>
      </c>
      <c r="L403">
        <v>396.9</v>
      </c>
      <c r="M403">
        <v>30.59</v>
      </c>
      <c r="N403">
        <v>5</v>
      </c>
      <c r="O403">
        <f t="shared" si="8"/>
        <v>6.5516231906833227</v>
      </c>
      <c r="P403">
        <f>Table1[[#This Row],[medv]]-Table1[[#This Row],[pred_medv]]</f>
        <v>-1.5516231906833227</v>
      </c>
      <c r="Q403">
        <f>IF(Table1[[#This Row],[medv]]=0, "Undefined", ABS((N403-O403)/N403))*100</f>
        <v>31.032463813666457</v>
      </c>
      <c r="V403">
        <v>346</v>
      </c>
      <c r="W403">
        <v>16.545011214380221</v>
      </c>
      <c r="X403">
        <v>0.95498878561977918</v>
      </c>
    </row>
    <row r="404" spans="1:24" x14ac:dyDescent="0.3">
      <c r="A404">
        <v>9.9165500000000009</v>
      </c>
      <c r="B404">
        <v>0</v>
      </c>
      <c r="C404">
        <v>18.100000000000001</v>
      </c>
      <c r="D404">
        <v>0</v>
      </c>
      <c r="E404">
        <v>0.69299999999999995</v>
      </c>
      <c r="F404">
        <v>5.8520000000000003</v>
      </c>
      <c r="G404">
        <v>77.8</v>
      </c>
      <c r="H404">
        <v>1.5004</v>
      </c>
      <c r="I404">
        <v>24</v>
      </c>
      <c r="J404">
        <v>666</v>
      </c>
      <c r="K404">
        <v>20.2</v>
      </c>
      <c r="L404">
        <v>338.16</v>
      </c>
      <c r="M404">
        <v>29.97</v>
      </c>
      <c r="N404">
        <v>6.3</v>
      </c>
      <c r="O404">
        <f t="shared" si="8"/>
        <v>10.890167780948595</v>
      </c>
      <c r="P404">
        <f>Table1[[#This Row],[medv]]-Table1[[#This Row],[pred_medv]]</f>
        <v>-4.5901677809485948</v>
      </c>
      <c r="Q404">
        <f>IF(Table1[[#This Row],[medv]]=0, "Undefined", ABS((N404-O404)/N404))*100</f>
        <v>72.859806046803101</v>
      </c>
      <c r="V404">
        <v>347</v>
      </c>
      <c r="W404">
        <v>14.783596409864581</v>
      </c>
      <c r="X404">
        <v>2.4164035901354186</v>
      </c>
    </row>
    <row r="405" spans="1:24" x14ac:dyDescent="0.3">
      <c r="A405">
        <v>25.046099999999999</v>
      </c>
      <c r="B405">
        <v>0</v>
      </c>
      <c r="C405">
        <v>18.100000000000001</v>
      </c>
      <c r="D405">
        <v>0</v>
      </c>
      <c r="E405">
        <v>0.69299999999999995</v>
      </c>
      <c r="F405">
        <v>5.9870000000000001</v>
      </c>
      <c r="G405">
        <v>100</v>
      </c>
      <c r="H405">
        <v>1.5888</v>
      </c>
      <c r="I405">
        <v>24</v>
      </c>
      <c r="J405">
        <v>666</v>
      </c>
      <c r="K405">
        <v>20.2</v>
      </c>
      <c r="L405">
        <v>396.9</v>
      </c>
      <c r="M405">
        <v>26.77</v>
      </c>
      <c r="N405">
        <v>5.6</v>
      </c>
      <c r="O405">
        <f t="shared" si="8"/>
        <v>11.881458707412932</v>
      </c>
      <c r="P405">
        <f>Table1[[#This Row],[medv]]-Table1[[#This Row],[pred_medv]]</f>
        <v>-6.2814587074129324</v>
      </c>
      <c r="Q405">
        <f>IF(Table1[[#This Row],[medv]]=0, "Undefined", ABS((N405-O405)/N405))*100</f>
        <v>112.16890548951666</v>
      </c>
      <c r="V405">
        <v>348</v>
      </c>
      <c r="W405">
        <v>25.273800816857015</v>
      </c>
      <c r="X405">
        <v>-2.173800816857014</v>
      </c>
    </row>
    <row r="406" spans="1:24" x14ac:dyDescent="0.3">
      <c r="A406">
        <v>14.2362</v>
      </c>
      <c r="B406">
        <v>0</v>
      </c>
      <c r="C406">
        <v>18.100000000000001</v>
      </c>
      <c r="D406">
        <v>0</v>
      </c>
      <c r="E406">
        <v>0.69299999999999995</v>
      </c>
      <c r="F406">
        <v>6.343</v>
      </c>
      <c r="G406">
        <v>100</v>
      </c>
      <c r="H406">
        <v>1.5741000000000001</v>
      </c>
      <c r="I406">
        <v>24</v>
      </c>
      <c r="J406">
        <v>666</v>
      </c>
      <c r="K406">
        <v>20.2</v>
      </c>
      <c r="L406">
        <v>396.9</v>
      </c>
      <c r="M406">
        <v>20.32</v>
      </c>
      <c r="N406">
        <v>7.2</v>
      </c>
      <c r="O406">
        <f t="shared" si="8"/>
        <v>17.811745067915229</v>
      </c>
      <c r="P406">
        <f>Table1[[#This Row],[medv]]-Table1[[#This Row],[pred_medv]]</f>
        <v>-10.61174506791523</v>
      </c>
      <c r="Q406">
        <f>IF(Table1[[#This Row],[medv]]=0, "Undefined", ABS((N406-O406)/N406))*100</f>
        <v>147.38534816548929</v>
      </c>
      <c r="V406">
        <v>349</v>
      </c>
      <c r="W406">
        <v>27.542051173933942</v>
      </c>
      <c r="X406">
        <v>-3.0420511739339418</v>
      </c>
    </row>
    <row r="407" spans="1:24" x14ac:dyDescent="0.3">
      <c r="A407">
        <v>9.5957100000000004</v>
      </c>
      <c r="B407">
        <v>0</v>
      </c>
      <c r="C407">
        <v>18.100000000000001</v>
      </c>
      <c r="D407">
        <v>0</v>
      </c>
      <c r="E407">
        <v>0.69299999999999995</v>
      </c>
      <c r="F407">
        <v>6.4039999999999999</v>
      </c>
      <c r="G407">
        <v>100</v>
      </c>
      <c r="H407">
        <v>1.639</v>
      </c>
      <c r="I407">
        <v>24</v>
      </c>
      <c r="J407">
        <v>666</v>
      </c>
      <c r="K407">
        <v>20.2</v>
      </c>
      <c r="L407">
        <v>376.11</v>
      </c>
      <c r="M407">
        <v>20.309999999999999</v>
      </c>
      <c r="N407">
        <v>12.1</v>
      </c>
      <c r="O407">
        <f t="shared" si="8"/>
        <v>18.261265871695596</v>
      </c>
      <c r="P407">
        <f>Table1[[#This Row],[medv]]-Table1[[#This Row],[pred_medv]]</f>
        <v>-6.1612658716955959</v>
      </c>
      <c r="Q407">
        <f>IF(Table1[[#This Row],[medv]]=0, "Undefined", ABS((N407-O407)/N407))*100</f>
        <v>50.919552658641287</v>
      </c>
      <c r="V407">
        <v>350</v>
      </c>
      <c r="W407">
        <v>22.148375624477442</v>
      </c>
      <c r="X407">
        <v>4.4516243755225595</v>
      </c>
    </row>
    <row r="408" spans="1:24" x14ac:dyDescent="0.3">
      <c r="A408">
        <v>24.8017</v>
      </c>
      <c r="B408">
        <v>0</v>
      </c>
      <c r="C408">
        <v>18.100000000000001</v>
      </c>
      <c r="D408">
        <v>0</v>
      </c>
      <c r="E408">
        <v>0.69299999999999995</v>
      </c>
      <c r="F408">
        <v>5.3490000000000002</v>
      </c>
      <c r="G408">
        <v>96</v>
      </c>
      <c r="H408">
        <v>1.7028000000000001</v>
      </c>
      <c r="I408">
        <v>24</v>
      </c>
      <c r="J408">
        <v>666</v>
      </c>
      <c r="K408">
        <v>20.2</v>
      </c>
      <c r="L408">
        <v>396.9</v>
      </c>
      <c r="M408">
        <v>19.77</v>
      </c>
      <c r="N408">
        <v>8.3000000000000007</v>
      </c>
      <c r="O408">
        <f t="shared" si="8"/>
        <v>12.97948780735258</v>
      </c>
      <c r="P408">
        <f>Table1[[#This Row],[medv]]-Table1[[#This Row],[pred_medv]]</f>
        <v>-4.6794878073525794</v>
      </c>
      <c r="Q408">
        <f>IF(Table1[[#This Row],[medv]]=0, "Undefined", ABS((N408-O408)/N408))*100</f>
        <v>56.379371172922646</v>
      </c>
      <c r="V408">
        <v>351</v>
      </c>
      <c r="W408">
        <v>20.459440947461211</v>
      </c>
      <c r="X408">
        <v>2.4405590525387879</v>
      </c>
    </row>
    <row r="409" spans="1:24" x14ac:dyDescent="0.3">
      <c r="A409">
        <v>41.529200000000003</v>
      </c>
      <c r="B409">
        <v>0</v>
      </c>
      <c r="C409">
        <v>18.100000000000001</v>
      </c>
      <c r="D409">
        <v>0</v>
      </c>
      <c r="E409">
        <v>0.69299999999999995</v>
      </c>
      <c r="F409">
        <v>5.5309999999999997</v>
      </c>
      <c r="G409">
        <v>85.4</v>
      </c>
      <c r="H409">
        <v>1.6073999999999999</v>
      </c>
      <c r="I409">
        <v>24</v>
      </c>
      <c r="J409">
        <v>666</v>
      </c>
      <c r="K409">
        <v>20.2</v>
      </c>
      <c r="L409">
        <v>329.46</v>
      </c>
      <c r="M409">
        <v>27.38</v>
      </c>
      <c r="N409">
        <v>8.5</v>
      </c>
      <c r="O409">
        <f t="shared" si="8"/>
        <v>7.3781636071945229</v>
      </c>
      <c r="P409">
        <f>Table1[[#This Row],[medv]]-Table1[[#This Row],[pred_medv]]</f>
        <v>1.1218363928054771</v>
      </c>
      <c r="Q409">
        <f>IF(Table1[[#This Row],[medv]]=0, "Undefined", ABS((N409-O409)/N409))*100</f>
        <v>13.198075209476201</v>
      </c>
      <c r="V409">
        <v>352</v>
      </c>
      <c r="W409">
        <v>20.546054227453407</v>
      </c>
      <c r="X409">
        <v>3.5539457725465944</v>
      </c>
    </row>
    <row r="410" spans="1:24" x14ac:dyDescent="0.3">
      <c r="A410">
        <v>67.9208</v>
      </c>
      <c r="B410">
        <v>0</v>
      </c>
      <c r="C410">
        <v>18.100000000000001</v>
      </c>
      <c r="D410">
        <v>0</v>
      </c>
      <c r="E410">
        <v>0.69299999999999995</v>
      </c>
      <c r="F410">
        <v>5.6829999999999998</v>
      </c>
      <c r="G410">
        <v>100</v>
      </c>
      <c r="H410">
        <v>1.4254</v>
      </c>
      <c r="I410">
        <v>24</v>
      </c>
      <c r="J410">
        <v>666</v>
      </c>
      <c r="K410">
        <v>20.2</v>
      </c>
      <c r="L410">
        <v>384.97</v>
      </c>
      <c r="M410">
        <v>22.98</v>
      </c>
      <c r="N410">
        <v>5</v>
      </c>
      <c r="O410">
        <f t="shared" si="8"/>
        <v>8.2111586138846384</v>
      </c>
      <c r="P410">
        <f>Table1[[#This Row],[medv]]-Table1[[#This Row],[pred_medv]]</f>
        <v>-3.2111586138846384</v>
      </c>
      <c r="Q410">
        <f>IF(Table1[[#This Row],[medv]]=0, "Undefined", ABS((N410-O410)/N410))*100</f>
        <v>64.223172277692768</v>
      </c>
      <c r="V410">
        <v>353</v>
      </c>
      <c r="W410">
        <v>16.880638265647967</v>
      </c>
      <c r="X410">
        <v>1.7193617343520344</v>
      </c>
    </row>
    <row r="411" spans="1:24" x14ac:dyDescent="0.3">
      <c r="A411">
        <v>20.716200000000001</v>
      </c>
      <c r="B411">
        <v>0</v>
      </c>
      <c r="C411">
        <v>18.100000000000001</v>
      </c>
      <c r="D411">
        <v>0</v>
      </c>
      <c r="E411">
        <v>0.65900000000000003</v>
      </c>
      <c r="F411">
        <v>4.1379999999999999</v>
      </c>
      <c r="G411">
        <v>100</v>
      </c>
      <c r="H411">
        <v>1.1780999999999999</v>
      </c>
      <c r="I411">
        <v>24</v>
      </c>
      <c r="J411">
        <v>666</v>
      </c>
      <c r="K411">
        <v>20.2</v>
      </c>
      <c r="L411">
        <v>370.22</v>
      </c>
      <c r="M411">
        <v>23.34</v>
      </c>
      <c r="N411">
        <v>11.9</v>
      </c>
      <c r="O411">
        <f t="shared" si="8"/>
        <v>8.0662619298699738</v>
      </c>
      <c r="P411">
        <f>Table1[[#This Row],[medv]]-Table1[[#This Row],[pred_medv]]</f>
        <v>3.8337380701300265</v>
      </c>
      <c r="Q411">
        <f>IF(Table1[[#This Row],[medv]]=0, "Undefined", ABS((N411-O411)/N411))*100</f>
        <v>32.216286303613664</v>
      </c>
      <c r="V411">
        <v>354</v>
      </c>
      <c r="W411">
        <v>25.402535058015228</v>
      </c>
      <c r="X411">
        <v>4.6974649419847729</v>
      </c>
    </row>
    <row r="412" spans="1:24" x14ac:dyDescent="0.3">
      <c r="A412">
        <v>11.9511</v>
      </c>
      <c r="B412">
        <v>0</v>
      </c>
      <c r="C412">
        <v>18.100000000000001</v>
      </c>
      <c r="D412">
        <v>0</v>
      </c>
      <c r="E412">
        <v>0.65900000000000003</v>
      </c>
      <c r="F412">
        <v>5.6079999999999997</v>
      </c>
      <c r="G412">
        <v>100</v>
      </c>
      <c r="H412">
        <v>1.2851999999999999</v>
      </c>
      <c r="I412">
        <v>24</v>
      </c>
      <c r="J412">
        <v>666</v>
      </c>
      <c r="K412">
        <v>20.2</v>
      </c>
      <c r="L412">
        <v>332.09</v>
      </c>
      <c r="M412">
        <v>12.13</v>
      </c>
      <c r="N412">
        <v>27.9</v>
      </c>
      <c r="O412">
        <f t="shared" si="8"/>
        <v>19.982947859821309</v>
      </c>
      <c r="P412">
        <f>Table1[[#This Row],[medv]]-Table1[[#This Row],[pred_medv]]</f>
        <v>7.91705214017869</v>
      </c>
      <c r="Q412">
        <f>IF(Table1[[#This Row],[medv]]=0, "Undefined", ABS((N412-O412)/N412))*100</f>
        <v>28.376530968382401</v>
      </c>
      <c r="V412">
        <v>355</v>
      </c>
      <c r="W412">
        <v>14.324866319042609</v>
      </c>
      <c r="X412">
        <v>3.87513368095739</v>
      </c>
    </row>
    <row r="413" spans="1:24" x14ac:dyDescent="0.3">
      <c r="A413">
        <v>7.4038899999999996</v>
      </c>
      <c r="B413">
        <v>0</v>
      </c>
      <c r="C413">
        <v>18.100000000000001</v>
      </c>
      <c r="D413">
        <v>0</v>
      </c>
      <c r="E413">
        <v>0.59699999999999998</v>
      </c>
      <c r="F413">
        <v>5.617</v>
      </c>
      <c r="G413">
        <v>97.9</v>
      </c>
      <c r="H413">
        <v>1.4547000000000001</v>
      </c>
      <c r="I413">
        <v>24</v>
      </c>
      <c r="J413">
        <v>666</v>
      </c>
      <c r="K413">
        <v>20.2</v>
      </c>
      <c r="L413">
        <v>314.64</v>
      </c>
      <c r="M413">
        <v>26.4</v>
      </c>
      <c r="N413">
        <v>17.2</v>
      </c>
      <c r="O413">
        <f t="shared" si="8"/>
        <v>13.707563692106771</v>
      </c>
      <c r="P413">
        <f>Table1[[#This Row],[medv]]-Table1[[#This Row],[pred_medv]]</f>
        <v>3.4924363078932288</v>
      </c>
      <c r="Q413">
        <f>IF(Table1[[#This Row],[medv]]=0, "Undefined", ABS((N413-O413)/N413))*100</f>
        <v>20.304862255193189</v>
      </c>
      <c r="V413">
        <v>356</v>
      </c>
      <c r="W413">
        <v>16.594884617384203</v>
      </c>
      <c r="X413">
        <v>4.0051153826157986</v>
      </c>
    </row>
    <row r="414" spans="1:24" x14ac:dyDescent="0.3">
      <c r="A414">
        <v>14.4383</v>
      </c>
      <c r="B414">
        <v>0</v>
      </c>
      <c r="C414">
        <v>18.100000000000001</v>
      </c>
      <c r="D414">
        <v>0</v>
      </c>
      <c r="E414">
        <v>0.59699999999999998</v>
      </c>
      <c r="F414">
        <v>6.8520000000000003</v>
      </c>
      <c r="G414">
        <v>100</v>
      </c>
      <c r="H414">
        <v>1.4655</v>
      </c>
      <c r="I414">
        <v>24</v>
      </c>
      <c r="J414">
        <v>666</v>
      </c>
      <c r="K414">
        <v>20.2</v>
      </c>
      <c r="L414">
        <v>179.36</v>
      </c>
      <c r="M414">
        <v>19.78</v>
      </c>
      <c r="N414">
        <v>27.5</v>
      </c>
      <c r="O414">
        <f t="shared" si="8"/>
        <v>19.852684544772156</v>
      </c>
      <c r="P414">
        <f>Table1[[#This Row],[medv]]-Table1[[#This Row],[pred_medv]]</f>
        <v>7.6473154552278437</v>
      </c>
      <c r="Q414">
        <f>IF(Table1[[#This Row],[medv]]=0, "Undefined", ABS((N414-O414)/N414))*100</f>
        <v>27.808419837192162</v>
      </c>
      <c r="V414">
        <v>357</v>
      </c>
      <c r="W414">
        <v>19.637046913301472</v>
      </c>
      <c r="X414">
        <v>-1.8370469133014709</v>
      </c>
    </row>
    <row r="415" spans="1:24" x14ac:dyDescent="0.3">
      <c r="A415">
        <v>51.135800000000003</v>
      </c>
      <c r="B415">
        <v>0</v>
      </c>
      <c r="C415">
        <v>18.100000000000001</v>
      </c>
      <c r="D415">
        <v>0</v>
      </c>
      <c r="E415">
        <v>0.59699999999999998</v>
      </c>
      <c r="F415">
        <v>5.7569999999999997</v>
      </c>
      <c r="G415">
        <v>100</v>
      </c>
      <c r="H415">
        <v>1.413</v>
      </c>
      <c r="I415">
        <v>24</v>
      </c>
      <c r="J415">
        <v>666</v>
      </c>
      <c r="K415">
        <v>20.2</v>
      </c>
      <c r="L415">
        <v>2.6</v>
      </c>
      <c r="M415">
        <v>10.11</v>
      </c>
      <c r="N415">
        <v>15</v>
      </c>
      <c r="O415">
        <f t="shared" si="8"/>
        <v>15.223082976880999</v>
      </c>
      <c r="P415">
        <f>Table1[[#This Row],[medv]]-Table1[[#This Row],[pred_medv]]</f>
        <v>-0.22308297688099898</v>
      </c>
      <c r="Q415">
        <f>IF(Table1[[#This Row],[medv]]=0, "Undefined", ABS((N415-O415)/N415))*100</f>
        <v>1.4872198458733266</v>
      </c>
      <c r="V415">
        <v>358</v>
      </c>
      <c r="W415">
        <v>22.718066074784375</v>
      </c>
      <c r="X415">
        <v>-1.0180660747843753</v>
      </c>
    </row>
    <row r="416" spans="1:24" x14ac:dyDescent="0.3">
      <c r="A416">
        <v>14.050700000000001</v>
      </c>
      <c r="B416">
        <v>0</v>
      </c>
      <c r="C416">
        <v>18.100000000000001</v>
      </c>
      <c r="D416">
        <v>0</v>
      </c>
      <c r="E416">
        <v>0.59699999999999998</v>
      </c>
      <c r="F416">
        <v>6.657</v>
      </c>
      <c r="G416">
        <v>100</v>
      </c>
      <c r="H416">
        <v>1.5275000000000001</v>
      </c>
      <c r="I416">
        <v>24</v>
      </c>
      <c r="J416">
        <v>666</v>
      </c>
      <c r="K416">
        <v>20.2</v>
      </c>
      <c r="L416">
        <v>35.049999999999997</v>
      </c>
      <c r="M416">
        <v>21.22</v>
      </c>
      <c r="N416">
        <v>17.2</v>
      </c>
      <c r="O416">
        <f t="shared" si="8"/>
        <v>16.960719809961596</v>
      </c>
      <c r="P416">
        <f>Table1[[#This Row],[medv]]-Table1[[#This Row],[pred_medv]]</f>
        <v>0.23928019003840362</v>
      </c>
      <c r="Q416">
        <f>IF(Table1[[#This Row],[medv]]=0, "Undefined", ABS((N416-O416)/N416))*100</f>
        <v>1.3911638955721142</v>
      </c>
      <c r="V416">
        <v>359</v>
      </c>
      <c r="W416">
        <v>22.202188867535586</v>
      </c>
      <c r="X416">
        <v>0.49781113246441322</v>
      </c>
    </row>
    <row r="417" spans="1:24" x14ac:dyDescent="0.3">
      <c r="A417">
        <v>18.811</v>
      </c>
      <c r="B417">
        <v>0</v>
      </c>
      <c r="C417">
        <v>18.100000000000001</v>
      </c>
      <c r="D417">
        <v>0</v>
      </c>
      <c r="E417">
        <v>0.59699999999999998</v>
      </c>
      <c r="F417">
        <v>4.6280000000000001</v>
      </c>
      <c r="G417">
        <v>100</v>
      </c>
      <c r="H417">
        <v>1.5539000000000001</v>
      </c>
      <c r="I417">
        <v>24</v>
      </c>
      <c r="J417">
        <v>666</v>
      </c>
      <c r="K417">
        <v>20.2</v>
      </c>
      <c r="L417">
        <v>28.79</v>
      </c>
      <c r="M417">
        <v>34.369999999999997</v>
      </c>
      <c r="N417">
        <v>17.899999999999999</v>
      </c>
      <c r="O417">
        <f t="shared" si="8"/>
        <v>1.718518067817719</v>
      </c>
      <c r="P417">
        <f>Table1[[#This Row],[medv]]-Table1[[#This Row],[pred_medv]]</f>
        <v>16.18148193218228</v>
      </c>
      <c r="Q417">
        <f>IF(Table1[[#This Row],[medv]]=0, "Undefined", ABS((N417-O417)/N417))*100</f>
        <v>90.399340403252964</v>
      </c>
      <c r="V417">
        <v>360</v>
      </c>
      <c r="W417">
        <v>19.20548057395311</v>
      </c>
      <c r="X417">
        <v>3.3945194260468909</v>
      </c>
    </row>
    <row r="418" spans="1:24" x14ac:dyDescent="0.3">
      <c r="A418">
        <v>28.655799999999999</v>
      </c>
      <c r="B418">
        <v>0</v>
      </c>
      <c r="C418">
        <v>18.100000000000001</v>
      </c>
      <c r="D418">
        <v>0</v>
      </c>
      <c r="E418">
        <v>0.59699999999999998</v>
      </c>
      <c r="F418">
        <v>5.1550000000000002</v>
      </c>
      <c r="G418">
        <v>100</v>
      </c>
      <c r="H418">
        <v>1.5893999999999999</v>
      </c>
      <c r="I418">
        <v>24</v>
      </c>
      <c r="J418">
        <v>666</v>
      </c>
      <c r="K418">
        <v>20.2</v>
      </c>
      <c r="L418">
        <v>210.97</v>
      </c>
      <c r="M418">
        <v>20.079999999999998</v>
      </c>
      <c r="N418">
        <v>16.3</v>
      </c>
      <c r="O418">
        <f t="shared" si="8"/>
        <v>11.805783871530366</v>
      </c>
      <c r="P418">
        <f>Table1[[#This Row],[medv]]-Table1[[#This Row],[pred_medv]]</f>
        <v>4.4942161284696347</v>
      </c>
      <c r="Q418">
        <f>IF(Table1[[#This Row],[medv]]=0, "Undefined", ABS((N418-O418)/N418))*100</f>
        <v>27.571878088770763</v>
      </c>
      <c r="V418">
        <v>361</v>
      </c>
      <c r="W418">
        <v>22.666161051338118</v>
      </c>
      <c r="X418">
        <v>2.3338389486618816</v>
      </c>
    </row>
    <row r="419" spans="1:24" x14ac:dyDescent="0.3">
      <c r="A419">
        <v>45.746099999999998</v>
      </c>
      <c r="B419">
        <v>0</v>
      </c>
      <c r="C419">
        <v>18.100000000000001</v>
      </c>
      <c r="D419">
        <v>0</v>
      </c>
      <c r="E419">
        <v>0.69299999999999995</v>
      </c>
      <c r="F419">
        <v>4.5190000000000001</v>
      </c>
      <c r="G419">
        <v>100</v>
      </c>
      <c r="H419">
        <v>1.6581999999999999</v>
      </c>
      <c r="I419">
        <v>24</v>
      </c>
      <c r="J419">
        <v>666</v>
      </c>
      <c r="K419">
        <v>20.2</v>
      </c>
      <c r="L419">
        <v>88.27</v>
      </c>
      <c r="M419">
        <v>36.979999999999997</v>
      </c>
      <c r="N419">
        <v>7</v>
      </c>
      <c r="O419">
        <f t="shared" si="8"/>
        <v>-4.2813107091848863</v>
      </c>
      <c r="P419">
        <f>Table1[[#This Row],[medv]]-Table1[[#This Row],[pred_medv]]</f>
        <v>11.281310709184886</v>
      </c>
      <c r="Q419">
        <f>IF(Table1[[#This Row],[medv]]=0, "Undefined", ABS((N419-O419)/N419))*100</f>
        <v>161.16158155978408</v>
      </c>
      <c r="V419">
        <v>362</v>
      </c>
      <c r="W419">
        <v>18.931926181669432</v>
      </c>
      <c r="X419">
        <v>0.96807381833056638</v>
      </c>
    </row>
    <row r="420" spans="1:24" x14ac:dyDescent="0.3">
      <c r="A420">
        <v>18.084599999999998</v>
      </c>
      <c r="B420">
        <v>0</v>
      </c>
      <c r="C420">
        <v>18.100000000000001</v>
      </c>
      <c r="D420">
        <v>0</v>
      </c>
      <c r="E420">
        <v>0.67900000000000005</v>
      </c>
      <c r="F420">
        <v>6.4340000000000002</v>
      </c>
      <c r="G420">
        <v>100</v>
      </c>
      <c r="H420">
        <v>1.8347</v>
      </c>
      <c r="I420">
        <v>24</v>
      </c>
      <c r="J420">
        <v>666</v>
      </c>
      <c r="K420">
        <v>20.2</v>
      </c>
      <c r="L420">
        <v>27.25</v>
      </c>
      <c r="M420">
        <v>29.05</v>
      </c>
      <c r="N420">
        <v>7.2</v>
      </c>
      <c r="O420">
        <f t="shared" si="8"/>
        <v>9.5837673686321985</v>
      </c>
      <c r="P420">
        <f>Table1[[#This Row],[medv]]-Table1[[#This Row],[pred_medv]]</f>
        <v>-2.3837673686321983</v>
      </c>
      <c r="Q420">
        <f>IF(Table1[[#This Row],[medv]]=0, "Undefined", ABS((N420-O420)/N420))*100</f>
        <v>33.107880119891639</v>
      </c>
      <c r="V420">
        <v>363</v>
      </c>
      <c r="W420">
        <v>18.228468043026663</v>
      </c>
      <c r="X420">
        <v>2.5715319569733381</v>
      </c>
    </row>
    <row r="421" spans="1:24" x14ac:dyDescent="0.3">
      <c r="A421">
        <v>10.834199999999999</v>
      </c>
      <c r="B421">
        <v>0</v>
      </c>
      <c r="C421">
        <v>18.100000000000001</v>
      </c>
      <c r="D421">
        <v>0</v>
      </c>
      <c r="E421">
        <v>0.67900000000000005</v>
      </c>
      <c r="F421">
        <v>6.782</v>
      </c>
      <c r="G421">
        <v>90.8</v>
      </c>
      <c r="H421">
        <v>1.8194999999999999</v>
      </c>
      <c r="I421">
        <v>24</v>
      </c>
      <c r="J421">
        <v>666</v>
      </c>
      <c r="K421">
        <v>20.2</v>
      </c>
      <c r="L421">
        <v>21.57</v>
      </c>
      <c r="M421">
        <v>25.79</v>
      </c>
      <c r="N421">
        <v>7.5</v>
      </c>
      <c r="O421">
        <f t="shared" si="8"/>
        <v>13.366608109637419</v>
      </c>
      <c r="P421">
        <f>Table1[[#This Row],[medv]]-Table1[[#This Row],[pred_medv]]</f>
        <v>-5.8666081096374185</v>
      </c>
      <c r="Q421">
        <f>IF(Table1[[#This Row],[medv]]=0, "Undefined", ABS((N421-O421)/N421))*100</f>
        <v>78.221441461832242</v>
      </c>
      <c r="V421">
        <v>364</v>
      </c>
      <c r="W421">
        <v>20.231508113855064</v>
      </c>
      <c r="X421">
        <v>-3.4315081138550632</v>
      </c>
    </row>
    <row r="422" spans="1:24" x14ac:dyDescent="0.3">
      <c r="A422">
        <v>25.9406</v>
      </c>
      <c r="B422">
        <v>0</v>
      </c>
      <c r="C422">
        <v>18.100000000000001</v>
      </c>
      <c r="D422">
        <v>0</v>
      </c>
      <c r="E422">
        <v>0.67900000000000005</v>
      </c>
      <c r="F422">
        <v>5.3040000000000003</v>
      </c>
      <c r="G422">
        <v>89.1</v>
      </c>
      <c r="H422">
        <v>1.6475</v>
      </c>
      <c r="I422">
        <v>24</v>
      </c>
      <c r="J422">
        <v>666</v>
      </c>
      <c r="K422">
        <v>20.2</v>
      </c>
      <c r="L422">
        <v>127.36</v>
      </c>
      <c r="M422">
        <v>26.64</v>
      </c>
      <c r="N422">
        <v>10.4</v>
      </c>
      <c r="O422">
        <f t="shared" si="8"/>
        <v>6.8956236258597485</v>
      </c>
      <c r="P422">
        <f>Table1[[#This Row],[medv]]-Table1[[#This Row],[pred_medv]]</f>
        <v>3.5043763741402518</v>
      </c>
      <c r="Q422">
        <f>IF(Table1[[#This Row],[medv]]=0, "Undefined", ABS((N422-O422)/N422))*100</f>
        <v>33.6959266744255</v>
      </c>
      <c r="V422">
        <v>365</v>
      </c>
      <c r="W422">
        <v>37.494473899695151</v>
      </c>
      <c r="X422">
        <v>-15.594473899695153</v>
      </c>
    </row>
    <row r="423" spans="1:24" x14ac:dyDescent="0.3">
      <c r="A423">
        <v>73.534099999999995</v>
      </c>
      <c r="B423">
        <v>0</v>
      </c>
      <c r="C423">
        <v>18.100000000000001</v>
      </c>
      <c r="D423">
        <v>0</v>
      </c>
      <c r="E423">
        <v>0.67900000000000005</v>
      </c>
      <c r="F423">
        <v>5.9569999999999999</v>
      </c>
      <c r="G423">
        <v>100</v>
      </c>
      <c r="H423">
        <v>1.8026</v>
      </c>
      <c r="I423">
        <v>24</v>
      </c>
      <c r="J423">
        <v>666</v>
      </c>
      <c r="K423">
        <v>20.2</v>
      </c>
      <c r="L423">
        <v>16.45</v>
      </c>
      <c r="M423">
        <v>20.62</v>
      </c>
      <c r="N423">
        <v>8.8000000000000007</v>
      </c>
      <c r="O423">
        <f t="shared" si="8"/>
        <v>6.1477985203212988</v>
      </c>
      <c r="P423">
        <f>Table1[[#This Row],[medv]]-Table1[[#This Row],[pred_medv]]</f>
        <v>2.6522014796787019</v>
      </c>
      <c r="Q423">
        <f>IF(Table1[[#This Row],[medv]]=0, "Undefined", ABS((N423-O423)/N423))*100</f>
        <v>30.138653178167061</v>
      </c>
      <c r="V423">
        <v>366</v>
      </c>
      <c r="W423">
        <v>14.281907341199986</v>
      </c>
      <c r="X423">
        <v>13.218092658800014</v>
      </c>
    </row>
    <row r="424" spans="1:24" x14ac:dyDescent="0.3">
      <c r="A424">
        <v>11.8123</v>
      </c>
      <c r="B424">
        <v>0</v>
      </c>
      <c r="C424">
        <v>18.100000000000001</v>
      </c>
      <c r="D424">
        <v>0</v>
      </c>
      <c r="E424">
        <v>0.71799999999999997</v>
      </c>
      <c r="F424">
        <v>6.8239999999999998</v>
      </c>
      <c r="G424">
        <v>76.5</v>
      </c>
      <c r="H424">
        <v>1.794</v>
      </c>
      <c r="I424">
        <v>24</v>
      </c>
      <c r="J424">
        <v>666</v>
      </c>
      <c r="K424">
        <v>20.2</v>
      </c>
      <c r="L424">
        <v>48.45</v>
      </c>
      <c r="M424">
        <v>22.74</v>
      </c>
      <c r="N424">
        <v>8.4</v>
      </c>
      <c r="O424">
        <f t="shared" si="8"/>
        <v>14.606617942384226</v>
      </c>
      <c r="P424">
        <f>Table1[[#This Row],[medv]]-Table1[[#This Row],[pred_medv]]</f>
        <v>-6.2066179423842254</v>
      </c>
      <c r="Q424">
        <f>IF(Table1[[#This Row],[medv]]=0, "Undefined", ABS((N424-O424)/N424))*100</f>
        <v>73.888308837907445</v>
      </c>
      <c r="V424">
        <v>367</v>
      </c>
      <c r="W424">
        <v>15.542862482794533</v>
      </c>
      <c r="X424">
        <v>6.3571375172054658</v>
      </c>
    </row>
    <row r="425" spans="1:24" x14ac:dyDescent="0.3">
      <c r="A425">
        <v>11.087400000000001</v>
      </c>
      <c r="B425">
        <v>0</v>
      </c>
      <c r="C425">
        <v>18.100000000000001</v>
      </c>
      <c r="D425">
        <v>0</v>
      </c>
      <c r="E425">
        <v>0.71799999999999997</v>
      </c>
      <c r="F425">
        <v>6.4109999999999996</v>
      </c>
      <c r="G425">
        <v>100</v>
      </c>
      <c r="H425">
        <v>1.8589</v>
      </c>
      <c r="I425">
        <v>24</v>
      </c>
      <c r="J425">
        <v>666</v>
      </c>
      <c r="K425">
        <v>20.2</v>
      </c>
      <c r="L425">
        <v>318.75</v>
      </c>
      <c r="M425">
        <v>15.02</v>
      </c>
      <c r="N425">
        <v>16.7</v>
      </c>
      <c r="O425">
        <f t="shared" si="8"/>
        <v>19.600026701987403</v>
      </c>
      <c r="P425">
        <f>Table1[[#This Row],[medv]]-Table1[[#This Row],[pred_medv]]</f>
        <v>-2.9000267019874038</v>
      </c>
      <c r="Q425">
        <f>IF(Table1[[#This Row],[medv]]=0, "Undefined", ABS((N425-O425)/N425))*100</f>
        <v>17.365429353217987</v>
      </c>
      <c r="V425">
        <v>368</v>
      </c>
      <c r="W425">
        <v>10.831623241057152</v>
      </c>
      <c r="X425">
        <v>12.26837675894285</v>
      </c>
    </row>
    <row r="426" spans="1:24" x14ac:dyDescent="0.3">
      <c r="A426">
        <v>7.0225900000000001</v>
      </c>
      <c r="B426">
        <v>0</v>
      </c>
      <c r="C426">
        <v>18.100000000000001</v>
      </c>
      <c r="D426">
        <v>0</v>
      </c>
      <c r="E426">
        <v>0.71799999999999997</v>
      </c>
      <c r="F426">
        <v>6.0060000000000002</v>
      </c>
      <c r="G426">
        <v>95.3</v>
      </c>
      <c r="H426">
        <v>1.8746</v>
      </c>
      <c r="I426">
        <v>24</v>
      </c>
      <c r="J426">
        <v>666</v>
      </c>
      <c r="K426">
        <v>20.2</v>
      </c>
      <c r="L426">
        <v>319.98</v>
      </c>
      <c r="M426">
        <v>15.7</v>
      </c>
      <c r="N426">
        <v>14.2</v>
      </c>
      <c r="O426">
        <f t="shared" si="8"/>
        <v>18.124274758877753</v>
      </c>
      <c r="P426">
        <f>Table1[[#This Row],[medv]]-Table1[[#This Row],[pred_medv]]</f>
        <v>-3.924274758877754</v>
      </c>
      <c r="Q426">
        <f>IF(Table1[[#This Row],[medv]]=0, "Undefined", ABS((N426-O426)/N426))*100</f>
        <v>27.635737738575735</v>
      </c>
      <c r="V426">
        <v>369</v>
      </c>
      <c r="W426">
        <v>23.800729022091591</v>
      </c>
      <c r="X426">
        <v>26.199270977908409</v>
      </c>
    </row>
    <row r="427" spans="1:24" x14ac:dyDescent="0.3">
      <c r="A427">
        <v>12.0482</v>
      </c>
      <c r="B427">
        <v>0</v>
      </c>
      <c r="C427">
        <v>18.100000000000001</v>
      </c>
      <c r="D427">
        <v>0</v>
      </c>
      <c r="E427">
        <v>0.61399999999999999</v>
      </c>
      <c r="F427">
        <v>5.6479999999999997</v>
      </c>
      <c r="G427">
        <v>87.6</v>
      </c>
      <c r="H427">
        <v>1.9512</v>
      </c>
      <c r="I427">
        <v>24</v>
      </c>
      <c r="J427">
        <v>666</v>
      </c>
      <c r="K427">
        <v>20.2</v>
      </c>
      <c r="L427">
        <v>291.55</v>
      </c>
      <c r="M427">
        <v>14.1</v>
      </c>
      <c r="N427">
        <v>20.8</v>
      </c>
      <c r="O427">
        <f t="shared" si="8"/>
        <v>18.52177132151628</v>
      </c>
      <c r="P427">
        <f>Table1[[#This Row],[medv]]-Table1[[#This Row],[pred_medv]]</f>
        <v>2.2782286784837211</v>
      </c>
      <c r="Q427">
        <f>IF(Table1[[#This Row],[medv]]=0, "Undefined", ABS((N427-O427)/N427))*100</f>
        <v>10.953022492710197</v>
      </c>
      <c r="V427">
        <v>370</v>
      </c>
      <c r="W427">
        <v>32.644073601249801</v>
      </c>
      <c r="X427">
        <v>17.355926398750199</v>
      </c>
    </row>
    <row r="428" spans="1:24" x14ac:dyDescent="0.3">
      <c r="A428">
        <v>7.0504199999999999</v>
      </c>
      <c r="B428">
        <v>0</v>
      </c>
      <c r="C428">
        <v>18.100000000000001</v>
      </c>
      <c r="D428">
        <v>0</v>
      </c>
      <c r="E428">
        <v>0.61399999999999999</v>
      </c>
      <c r="F428">
        <v>6.1029999999999998</v>
      </c>
      <c r="G428">
        <v>85.1</v>
      </c>
      <c r="H428">
        <v>2.0217999999999998</v>
      </c>
      <c r="I428">
        <v>24</v>
      </c>
      <c r="J428">
        <v>666</v>
      </c>
      <c r="K428">
        <v>20.2</v>
      </c>
      <c r="L428">
        <v>2.52</v>
      </c>
      <c r="M428">
        <v>23.29</v>
      </c>
      <c r="N428">
        <v>13.4</v>
      </c>
      <c r="O428">
        <f t="shared" si="8"/>
        <v>13.175286104567242</v>
      </c>
      <c r="P428">
        <f>Table1[[#This Row],[medv]]-Table1[[#This Row],[pred_medv]]</f>
        <v>0.22471389543275855</v>
      </c>
      <c r="Q428">
        <f>IF(Table1[[#This Row],[medv]]=0, "Undefined", ABS((N428-O428)/N428))*100</f>
        <v>1.6769693689011833</v>
      </c>
      <c r="V428">
        <v>371</v>
      </c>
      <c r="W428">
        <v>34.606840424466753</v>
      </c>
      <c r="X428">
        <v>15.393159575533247</v>
      </c>
    </row>
    <row r="429" spans="1:24" x14ac:dyDescent="0.3">
      <c r="A429">
        <v>8.7921200000000006</v>
      </c>
      <c r="B429">
        <v>0</v>
      </c>
      <c r="C429">
        <v>18.100000000000001</v>
      </c>
      <c r="D429">
        <v>0</v>
      </c>
      <c r="E429">
        <v>0.58399999999999996</v>
      </c>
      <c r="F429">
        <v>5.5650000000000004</v>
      </c>
      <c r="G429">
        <v>70.599999999999994</v>
      </c>
      <c r="H429">
        <v>2.0634999999999999</v>
      </c>
      <c r="I429">
        <v>24</v>
      </c>
      <c r="J429">
        <v>666</v>
      </c>
      <c r="K429">
        <v>20.2</v>
      </c>
      <c r="L429">
        <v>3.65</v>
      </c>
      <c r="M429">
        <v>17.16</v>
      </c>
      <c r="N429">
        <v>11.7</v>
      </c>
      <c r="O429">
        <f t="shared" si="8"/>
        <v>14.62617624181555</v>
      </c>
      <c r="P429">
        <f>Table1[[#This Row],[medv]]-Table1[[#This Row],[pred_medv]]</f>
        <v>-2.9261762418155506</v>
      </c>
      <c r="Q429">
        <f>IF(Table1[[#This Row],[medv]]=0, "Undefined", ABS((N429-O429)/N429))*100</f>
        <v>25.010053348850864</v>
      </c>
      <c r="V429">
        <v>372</v>
      </c>
      <c r="W429">
        <v>24.943313325144288</v>
      </c>
      <c r="X429">
        <v>25.056686674855712</v>
      </c>
    </row>
    <row r="430" spans="1:24" x14ac:dyDescent="0.3">
      <c r="A430">
        <v>15.860300000000001</v>
      </c>
      <c r="B430">
        <v>0</v>
      </c>
      <c r="C430">
        <v>18.100000000000001</v>
      </c>
      <c r="D430">
        <v>0</v>
      </c>
      <c r="E430">
        <v>0.67900000000000005</v>
      </c>
      <c r="F430">
        <v>5.8959999999999999</v>
      </c>
      <c r="G430">
        <v>95.4</v>
      </c>
      <c r="H430">
        <v>1.9096</v>
      </c>
      <c r="I430">
        <v>24</v>
      </c>
      <c r="J430">
        <v>666</v>
      </c>
      <c r="K430">
        <v>20.2</v>
      </c>
      <c r="L430">
        <v>7.68</v>
      </c>
      <c r="M430">
        <v>24.39</v>
      </c>
      <c r="N430">
        <v>8.3000000000000007</v>
      </c>
      <c r="O430">
        <f t="shared" si="8"/>
        <v>9.9237497596626127</v>
      </c>
      <c r="P430">
        <f>Table1[[#This Row],[medv]]-Table1[[#This Row],[pred_medv]]</f>
        <v>-1.623749759662612</v>
      </c>
      <c r="Q430">
        <f>IF(Table1[[#This Row],[medv]]=0, "Undefined", ABS((N430-O430)/N430))*100</f>
        <v>19.563250116417009</v>
      </c>
      <c r="V430">
        <v>373</v>
      </c>
      <c r="W430">
        <v>25.999809100736009</v>
      </c>
      <c r="X430">
        <v>24.000190899263991</v>
      </c>
    </row>
    <row r="431" spans="1:24" x14ac:dyDescent="0.3">
      <c r="A431">
        <v>12.247199999999999</v>
      </c>
      <c r="B431">
        <v>0</v>
      </c>
      <c r="C431">
        <v>18.100000000000001</v>
      </c>
      <c r="D431">
        <v>0</v>
      </c>
      <c r="E431">
        <v>0.58399999999999996</v>
      </c>
      <c r="F431">
        <v>5.8369999999999997</v>
      </c>
      <c r="G431">
        <v>59.7</v>
      </c>
      <c r="H431">
        <v>1.9976</v>
      </c>
      <c r="I431">
        <v>24</v>
      </c>
      <c r="J431">
        <v>666</v>
      </c>
      <c r="K431">
        <v>20.2</v>
      </c>
      <c r="L431">
        <v>24.65</v>
      </c>
      <c r="M431">
        <v>15.69</v>
      </c>
      <c r="N431">
        <v>10.199999999999999</v>
      </c>
      <c r="O431">
        <f t="shared" si="8"/>
        <v>16.345906466575432</v>
      </c>
      <c r="P431">
        <f>Table1[[#This Row],[medv]]-Table1[[#This Row],[pred_medv]]</f>
        <v>-6.1459064665754326</v>
      </c>
      <c r="Q431">
        <f>IF(Table1[[#This Row],[medv]]=0, "Undefined", ABS((N431-O431)/N431))*100</f>
        <v>60.253984966425811</v>
      </c>
      <c r="V431">
        <v>374</v>
      </c>
      <c r="W431">
        <v>6.1263249964308955</v>
      </c>
      <c r="X431">
        <v>7.6736750035691053</v>
      </c>
    </row>
    <row r="432" spans="1:24" x14ac:dyDescent="0.3">
      <c r="A432">
        <v>37.661900000000003</v>
      </c>
      <c r="B432">
        <v>0</v>
      </c>
      <c r="C432">
        <v>18.100000000000001</v>
      </c>
      <c r="D432">
        <v>0</v>
      </c>
      <c r="E432">
        <v>0.67900000000000005</v>
      </c>
      <c r="F432">
        <v>6.202</v>
      </c>
      <c r="G432">
        <v>78.7</v>
      </c>
      <c r="H432">
        <v>1.8629</v>
      </c>
      <c r="I432">
        <v>24</v>
      </c>
      <c r="J432">
        <v>666</v>
      </c>
      <c r="K432">
        <v>20.2</v>
      </c>
      <c r="L432">
        <v>18.82</v>
      </c>
      <c r="M432">
        <v>14.52</v>
      </c>
      <c r="N432">
        <v>10.9</v>
      </c>
      <c r="O432">
        <f t="shared" si="8"/>
        <v>14.075194255231043</v>
      </c>
      <c r="P432">
        <f>Table1[[#This Row],[medv]]-Table1[[#This Row],[pred_medv]]</f>
        <v>-3.1751942552310428</v>
      </c>
      <c r="Q432">
        <f>IF(Table1[[#This Row],[medv]]=0, "Undefined", ABS((N432-O432)/N432))*100</f>
        <v>29.130222525055437</v>
      </c>
      <c r="V432">
        <v>375</v>
      </c>
      <c r="W432">
        <v>0.77779805957047188</v>
      </c>
      <c r="X432">
        <v>13.022201940429529</v>
      </c>
    </row>
    <row r="433" spans="1:24" x14ac:dyDescent="0.3">
      <c r="A433">
        <v>7.3671100000000003</v>
      </c>
      <c r="B433">
        <v>0</v>
      </c>
      <c r="C433">
        <v>18.100000000000001</v>
      </c>
      <c r="D433">
        <v>0</v>
      </c>
      <c r="E433">
        <v>0.67900000000000005</v>
      </c>
      <c r="F433">
        <v>6.1929999999999996</v>
      </c>
      <c r="G433">
        <v>78.099999999999994</v>
      </c>
      <c r="H433">
        <v>1.9356</v>
      </c>
      <c r="I433">
        <v>24</v>
      </c>
      <c r="J433">
        <v>666</v>
      </c>
      <c r="K433">
        <v>20.2</v>
      </c>
      <c r="L433">
        <v>96.73</v>
      </c>
      <c r="M433">
        <v>21.52</v>
      </c>
      <c r="N433">
        <v>11</v>
      </c>
      <c r="O433">
        <f t="shared" si="8"/>
        <v>14.257562426063885</v>
      </c>
      <c r="P433">
        <f>Table1[[#This Row],[medv]]-Table1[[#This Row],[pred_medv]]</f>
        <v>-3.2575624260638847</v>
      </c>
      <c r="Q433">
        <f>IF(Table1[[#This Row],[medv]]=0, "Undefined", ABS((N433-O433)/N433))*100</f>
        <v>29.614203873308043</v>
      </c>
      <c r="V433">
        <v>376</v>
      </c>
      <c r="W433">
        <v>25.307130641718224</v>
      </c>
      <c r="X433">
        <v>-10.307130641718224</v>
      </c>
    </row>
    <row r="434" spans="1:24" x14ac:dyDescent="0.3">
      <c r="A434">
        <v>9.3388899999999992</v>
      </c>
      <c r="B434">
        <v>0</v>
      </c>
      <c r="C434">
        <v>18.100000000000001</v>
      </c>
      <c r="D434">
        <v>0</v>
      </c>
      <c r="E434">
        <v>0.67900000000000005</v>
      </c>
      <c r="F434">
        <v>6.38</v>
      </c>
      <c r="G434">
        <v>95.6</v>
      </c>
      <c r="H434">
        <v>1.9681999999999999</v>
      </c>
      <c r="I434">
        <v>24</v>
      </c>
      <c r="J434">
        <v>666</v>
      </c>
      <c r="K434">
        <v>20.2</v>
      </c>
      <c r="L434">
        <v>60.72</v>
      </c>
      <c r="M434">
        <v>24.08</v>
      </c>
      <c r="N434">
        <v>9.5</v>
      </c>
      <c r="O434">
        <f t="shared" si="8"/>
        <v>13.042347874621861</v>
      </c>
      <c r="P434">
        <f>Table1[[#This Row],[medv]]-Table1[[#This Row],[pred_medv]]</f>
        <v>-3.5423478746218606</v>
      </c>
      <c r="Q434">
        <f>IF(Table1[[#This Row],[medv]]=0, "Undefined", ABS((N434-O434)/N434))*100</f>
        <v>37.287872364440638</v>
      </c>
      <c r="V434">
        <v>377</v>
      </c>
      <c r="W434">
        <v>17.740610645315805</v>
      </c>
      <c r="X434">
        <v>-3.8406106453158042</v>
      </c>
    </row>
    <row r="435" spans="1:24" x14ac:dyDescent="0.3">
      <c r="A435">
        <v>8.4921299999999995</v>
      </c>
      <c r="B435">
        <v>0</v>
      </c>
      <c r="C435">
        <v>18.100000000000001</v>
      </c>
      <c r="D435">
        <v>0</v>
      </c>
      <c r="E435">
        <v>0.58399999999999996</v>
      </c>
      <c r="F435">
        <v>6.3479999999999999</v>
      </c>
      <c r="G435">
        <v>86.1</v>
      </c>
      <c r="H435">
        <v>2.0527000000000002</v>
      </c>
      <c r="I435">
        <v>24</v>
      </c>
      <c r="J435">
        <v>666</v>
      </c>
      <c r="K435">
        <v>20.2</v>
      </c>
      <c r="L435">
        <v>83.45</v>
      </c>
      <c r="M435">
        <v>17.64</v>
      </c>
      <c r="N435">
        <v>14.5</v>
      </c>
      <c r="O435">
        <f t="shared" si="8"/>
        <v>18.159556933720559</v>
      </c>
      <c r="P435">
        <f>Table1[[#This Row],[medv]]-Table1[[#This Row],[pred_medv]]</f>
        <v>-3.6595569337205589</v>
      </c>
      <c r="Q435">
        <f>IF(Table1[[#This Row],[medv]]=0, "Undefined", ABS((N435-O435)/N435))*100</f>
        <v>25.238323680831442</v>
      </c>
      <c r="V435">
        <v>378</v>
      </c>
      <c r="W435">
        <v>20.232744140187542</v>
      </c>
      <c r="X435">
        <v>-6.9327441401875411</v>
      </c>
    </row>
    <row r="436" spans="1:24" x14ac:dyDescent="0.3">
      <c r="A436">
        <v>10.0623</v>
      </c>
      <c r="B436">
        <v>0</v>
      </c>
      <c r="C436">
        <v>18.100000000000001</v>
      </c>
      <c r="D436">
        <v>0</v>
      </c>
      <c r="E436">
        <v>0.58399999999999996</v>
      </c>
      <c r="F436">
        <v>6.8330000000000002</v>
      </c>
      <c r="G436">
        <v>94.3</v>
      </c>
      <c r="H436">
        <v>2.0882000000000001</v>
      </c>
      <c r="I436">
        <v>24</v>
      </c>
      <c r="J436">
        <v>666</v>
      </c>
      <c r="K436">
        <v>20.2</v>
      </c>
      <c r="L436">
        <v>81.33</v>
      </c>
      <c r="M436">
        <v>19.690000000000001</v>
      </c>
      <c r="N436">
        <v>14.1</v>
      </c>
      <c r="O436">
        <f t="shared" si="8"/>
        <v>18.695543541176249</v>
      </c>
      <c r="P436">
        <f>Table1[[#This Row],[medv]]-Table1[[#This Row],[pred_medv]]</f>
        <v>-4.5955435411762497</v>
      </c>
      <c r="Q436">
        <f>IF(Table1[[#This Row],[medv]]=0, "Undefined", ABS((N436-O436)/N436))*100</f>
        <v>32.592507384228725</v>
      </c>
      <c r="V436">
        <v>379</v>
      </c>
      <c r="W436">
        <v>15.833313007596365</v>
      </c>
      <c r="X436">
        <v>-2.7333130075963652</v>
      </c>
    </row>
    <row r="437" spans="1:24" x14ac:dyDescent="0.3">
      <c r="A437">
        <v>6.4440499999999998</v>
      </c>
      <c r="B437">
        <v>0</v>
      </c>
      <c r="C437">
        <v>18.100000000000001</v>
      </c>
      <c r="D437">
        <v>0</v>
      </c>
      <c r="E437">
        <v>0.58399999999999996</v>
      </c>
      <c r="F437">
        <v>6.4249999999999998</v>
      </c>
      <c r="G437">
        <v>74.8</v>
      </c>
      <c r="H437">
        <v>2.2004000000000001</v>
      </c>
      <c r="I437">
        <v>24</v>
      </c>
      <c r="J437">
        <v>666</v>
      </c>
      <c r="K437">
        <v>20.2</v>
      </c>
      <c r="L437">
        <v>97.95</v>
      </c>
      <c r="M437">
        <v>12.03</v>
      </c>
      <c r="N437">
        <v>16.100000000000001</v>
      </c>
      <c r="O437">
        <f t="shared" si="8"/>
        <v>21.52728300211151</v>
      </c>
      <c r="P437">
        <f>Table1[[#This Row],[medv]]-Table1[[#This Row],[pred_medv]]</f>
        <v>-5.4272830021115084</v>
      </c>
      <c r="Q437">
        <f>IF(Table1[[#This Row],[medv]]=0, "Undefined", ABS((N437-O437)/N437))*100</f>
        <v>33.709832311251603</v>
      </c>
      <c r="V437">
        <v>380</v>
      </c>
      <c r="W437">
        <v>16.835125871652878</v>
      </c>
      <c r="X437">
        <v>-6.6351258716528783</v>
      </c>
    </row>
    <row r="438" spans="1:24" x14ac:dyDescent="0.3">
      <c r="A438">
        <v>5.5810700000000004</v>
      </c>
      <c r="B438">
        <v>0</v>
      </c>
      <c r="C438">
        <v>18.100000000000001</v>
      </c>
      <c r="D438">
        <v>0</v>
      </c>
      <c r="E438">
        <v>0.71299999999999997</v>
      </c>
      <c r="F438">
        <v>6.4359999999999999</v>
      </c>
      <c r="G438">
        <v>87.9</v>
      </c>
      <c r="H438">
        <v>2.3157999999999999</v>
      </c>
      <c r="I438">
        <v>24</v>
      </c>
      <c r="J438">
        <v>666</v>
      </c>
      <c r="K438">
        <v>20.2</v>
      </c>
      <c r="L438">
        <v>100.19</v>
      </c>
      <c r="M438">
        <v>16.22</v>
      </c>
      <c r="N438">
        <v>14.3</v>
      </c>
      <c r="O438">
        <f t="shared" si="8"/>
        <v>17.031418608646735</v>
      </c>
      <c r="P438">
        <f>Table1[[#This Row],[medv]]-Table1[[#This Row],[pred_medv]]</f>
        <v>-2.7314186086467345</v>
      </c>
      <c r="Q438">
        <f>IF(Table1[[#This Row],[medv]]=0, "Undefined", ABS((N438-O438)/N438))*100</f>
        <v>19.100829431096045</v>
      </c>
      <c r="V438">
        <v>381</v>
      </c>
      <c r="W438">
        <v>14.369948254881761</v>
      </c>
      <c r="X438">
        <v>-3.9699482548817606</v>
      </c>
    </row>
    <row r="439" spans="1:24" x14ac:dyDescent="0.3">
      <c r="A439">
        <v>13.913399999999999</v>
      </c>
      <c r="B439">
        <v>0</v>
      </c>
      <c r="C439">
        <v>18.100000000000001</v>
      </c>
      <c r="D439">
        <v>0</v>
      </c>
      <c r="E439">
        <v>0.71299999999999997</v>
      </c>
      <c r="F439">
        <v>6.2080000000000002</v>
      </c>
      <c r="G439">
        <v>95</v>
      </c>
      <c r="H439">
        <v>2.2222</v>
      </c>
      <c r="I439">
        <v>24</v>
      </c>
      <c r="J439">
        <v>666</v>
      </c>
      <c r="K439">
        <v>20.2</v>
      </c>
      <c r="L439">
        <v>100.63</v>
      </c>
      <c r="M439">
        <v>15.17</v>
      </c>
      <c r="N439">
        <v>11.7</v>
      </c>
      <c r="O439">
        <f t="shared" si="8"/>
        <v>15.960904353333316</v>
      </c>
      <c r="P439">
        <f>Table1[[#This Row],[medv]]-Table1[[#This Row],[pred_medv]]</f>
        <v>-4.2609043533333164</v>
      </c>
      <c r="Q439">
        <f>IF(Table1[[#This Row],[medv]]=0, "Undefined", ABS((N439-O439)/N439))*100</f>
        <v>36.417985925925784</v>
      </c>
      <c r="V439">
        <v>382</v>
      </c>
      <c r="W439">
        <v>18.476828330782034</v>
      </c>
      <c r="X439">
        <v>-7.5768283307820337</v>
      </c>
    </row>
    <row r="440" spans="1:24" x14ac:dyDescent="0.3">
      <c r="A440">
        <v>11.160399999999999</v>
      </c>
      <c r="B440">
        <v>0</v>
      </c>
      <c r="C440">
        <v>18.100000000000001</v>
      </c>
      <c r="D440">
        <v>0</v>
      </c>
      <c r="E440">
        <v>0.74</v>
      </c>
      <c r="F440">
        <v>6.6289999999999996</v>
      </c>
      <c r="G440">
        <v>94.6</v>
      </c>
      <c r="H440">
        <v>2.1246999999999998</v>
      </c>
      <c r="I440">
        <v>24</v>
      </c>
      <c r="J440">
        <v>666</v>
      </c>
      <c r="K440">
        <v>20.2</v>
      </c>
      <c r="L440">
        <v>109.85</v>
      </c>
      <c r="M440">
        <v>23.27</v>
      </c>
      <c r="N440">
        <v>13.4</v>
      </c>
      <c r="O440">
        <f t="shared" si="8"/>
        <v>13.361416107105399</v>
      </c>
      <c r="P440">
        <f>Table1[[#This Row],[medv]]-Table1[[#This Row],[pred_medv]]</f>
        <v>3.8583892894601846E-2</v>
      </c>
      <c r="Q440">
        <f>IF(Table1[[#This Row],[medv]]=0, "Undefined", ABS((N440-O440)/N440))*100</f>
        <v>0.28793949921344664</v>
      </c>
      <c r="V440">
        <v>383</v>
      </c>
      <c r="W440">
        <v>13.427682804691205</v>
      </c>
      <c r="X440">
        <v>-2.1276828046912044</v>
      </c>
    </row>
    <row r="441" spans="1:24" x14ac:dyDescent="0.3">
      <c r="A441">
        <v>14.4208</v>
      </c>
      <c r="B441">
        <v>0</v>
      </c>
      <c r="C441">
        <v>18.100000000000001</v>
      </c>
      <c r="D441">
        <v>0</v>
      </c>
      <c r="E441">
        <v>0.74</v>
      </c>
      <c r="F441">
        <v>6.4610000000000003</v>
      </c>
      <c r="G441">
        <v>93.3</v>
      </c>
      <c r="H441">
        <v>2.0026000000000002</v>
      </c>
      <c r="I441">
        <v>24</v>
      </c>
      <c r="J441">
        <v>666</v>
      </c>
      <c r="K441">
        <v>20.2</v>
      </c>
      <c r="L441">
        <v>27.49</v>
      </c>
      <c r="M441">
        <v>18.05</v>
      </c>
      <c r="N441">
        <v>9.6</v>
      </c>
      <c r="O441">
        <f t="shared" si="8"/>
        <v>14.520793839061689</v>
      </c>
      <c r="P441">
        <f>Table1[[#This Row],[medv]]-Table1[[#This Row],[pred_medv]]</f>
        <v>-4.9207938390616892</v>
      </c>
      <c r="Q441">
        <f>IF(Table1[[#This Row],[medv]]=0, "Undefined", ABS((N441-O441)/N441))*100</f>
        <v>51.258269156892602</v>
      </c>
      <c r="V441">
        <v>384</v>
      </c>
      <c r="W441">
        <v>13.06177511782824</v>
      </c>
      <c r="X441">
        <v>-0.7617751178282397</v>
      </c>
    </row>
    <row r="442" spans="1:24" x14ac:dyDescent="0.3">
      <c r="A442">
        <v>15.177199999999999</v>
      </c>
      <c r="B442">
        <v>0</v>
      </c>
      <c r="C442">
        <v>18.100000000000001</v>
      </c>
      <c r="D442">
        <v>0</v>
      </c>
      <c r="E442">
        <v>0.74</v>
      </c>
      <c r="F442">
        <v>6.1520000000000001</v>
      </c>
      <c r="G442">
        <v>100</v>
      </c>
      <c r="H442">
        <v>1.9141999999999999</v>
      </c>
      <c r="I442">
        <v>24</v>
      </c>
      <c r="J442">
        <v>666</v>
      </c>
      <c r="K442">
        <v>20.2</v>
      </c>
      <c r="L442">
        <v>9.32</v>
      </c>
      <c r="M442">
        <v>26.45</v>
      </c>
      <c r="N442">
        <v>8.6999999999999993</v>
      </c>
      <c r="O442">
        <f t="shared" si="8"/>
        <v>8.8197600542603212</v>
      </c>
      <c r="P442">
        <f>Table1[[#This Row],[medv]]-Table1[[#This Row],[pred_medv]]</f>
        <v>-0.11976005426032188</v>
      </c>
      <c r="Q442">
        <f>IF(Table1[[#This Row],[medv]]=0, "Undefined", ABS((N442-O442)/N442))*100</f>
        <v>1.3765523478197919</v>
      </c>
      <c r="V442">
        <v>385</v>
      </c>
      <c r="W442">
        <v>3.2791811609612402</v>
      </c>
      <c r="X442">
        <v>5.5208188390387605</v>
      </c>
    </row>
    <row r="443" spans="1:24" x14ac:dyDescent="0.3">
      <c r="A443">
        <v>13.678100000000001</v>
      </c>
      <c r="B443">
        <v>0</v>
      </c>
      <c r="C443">
        <v>18.100000000000001</v>
      </c>
      <c r="D443">
        <v>0</v>
      </c>
      <c r="E443">
        <v>0.74</v>
      </c>
      <c r="F443">
        <v>5.9349999999999996</v>
      </c>
      <c r="G443">
        <v>87.9</v>
      </c>
      <c r="H443">
        <v>1.8206</v>
      </c>
      <c r="I443">
        <v>24</v>
      </c>
      <c r="J443">
        <v>666</v>
      </c>
      <c r="K443">
        <v>20.2</v>
      </c>
      <c r="L443">
        <v>68.95</v>
      </c>
      <c r="M443">
        <v>34.020000000000003</v>
      </c>
      <c r="N443">
        <v>8.4</v>
      </c>
      <c r="O443">
        <f t="shared" si="8"/>
        <v>4.867511022766152</v>
      </c>
      <c r="P443">
        <f>Table1[[#This Row],[medv]]-Table1[[#This Row],[pred_medv]]</f>
        <v>3.5324889772338484</v>
      </c>
      <c r="Q443">
        <f>IF(Table1[[#This Row],[medv]]=0, "Undefined", ABS((N443-O443)/N443))*100</f>
        <v>42.053440205164861</v>
      </c>
      <c r="V443">
        <v>386</v>
      </c>
      <c r="W443">
        <v>8.0602217082421497</v>
      </c>
      <c r="X443">
        <v>-0.8602217082421495</v>
      </c>
    </row>
    <row r="444" spans="1:24" x14ac:dyDescent="0.3">
      <c r="A444">
        <v>9.3906299999999998</v>
      </c>
      <c r="B444">
        <v>0</v>
      </c>
      <c r="C444">
        <v>18.100000000000001</v>
      </c>
      <c r="D444">
        <v>0</v>
      </c>
      <c r="E444">
        <v>0.74</v>
      </c>
      <c r="F444">
        <v>5.6269999999999998</v>
      </c>
      <c r="G444">
        <v>93.9</v>
      </c>
      <c r="H444">
        <v>1.8171999999999999</v>
      </c>
      <c r="I444">
        <v>24</v>
      </c>
      <c r="J444">
        <v>666</v>
      </c>
      <c r="K444">
        <v>20.2</v>
      </c>
      <c r="L444">
        <v>396.9</v>
      </c>
      <c r="M444">
        <v>22.88</v>
      </c>
      <c r="N444">
        <v>12.8</v>
      </c>
      <c r="O444">
        <f t="shared" si="8"/>
        <v>13.065913129521391</v>
      </c>
      <c r="P444">
        <f>Table1[[#This Row],[medv]]-Table1[[#This Row],[pred_medv]]</f>
        <v>-0.26591312952139035</v>
      </c>
      <c r="Q444">
        <f>IF(Table1[[#This Row],[medv]]=0, "Undefined", ABS((N444-O444)/N444))*100</f>
        <v>2.0774463243858623</v>
      </c>
      <c r="V444">
        <v>387</v>
      </c>
      <c r="W444">
        <v>6.1284219643046587</v>
      </c>
      <c r="X444">
        <v>4.3715780356953413</v>
      </c>
    </row>
    <row r="445" spans="1:24" x14ac:dyDescent="0.3">
      <c r="A445">
        <v>22.051100000000002</v>
      </c>
      <c r="B445">
        <v>0</v>
      </c>
      <c r="C445">
        <v>18.100000000000001</v>
      </c>
      <c r="D445">
        <v>0</v>
      </c>
      <c r="E445">
        <v>0.74</v>
      </c>
      <c r="F445">
        <v>5.8179999999999996</v>
      </c>
      <c r="G445">
        <v>92.4</v>
      </c>
      <c r="H445">
        <v>1.8662000000000001</v>
      </c>
      <c r="I445">
        <v>24</v>
      </c>
      <c r="J445">
        <v>666</v>
      </c>
      <c r="K445">
        <v>20.2</v>
      </c>
      <c r="L445">
        <v>391.45</v>
      </c>
      <c r="M445">
        <v>22.11</v>
      </c>
      <c r="N445">
        <v>10.5</v>
      </c>
      <c r="O445">
        <f t="shared" si="8"/>
        <v>12.706096993181539</v>
      </c>
      <c r="P445">
        <f>Table1[[#This Row],[medv]]-Table1[[#This Row],[pred_medv]]</f>
        <v>-2.2060969931815393</v>
      </c>
      <c r="Q445">
        <f>IF(Table1[[#This Row],[medv]]=0, "Undefined", ABS((N445-O445)/N445))*100</f>
        <v>21.010447554109899</v>
      </c>
      <c r="V445">
        <v>388</v>
      </c>
      <c r="W445">
        <v>5.6186480998374293</v>
      </c>
      <c r="X445">
        <v>1.7813519001625711</v>
      </c>
    </row>
    <row r="446" spans="1:24" x14ac:dyDescent="0.3">
      <c r="A446">
        <v>9.7241800000000005</v>
      </c>
      <c r="B446">
        <v>0</v>
      </c>
      <c r="C446">
        <v>18.100000000000001</v>
      </c>
      <c r="D446">
        <v>0</v>
      </c>
      <c r="E446">
        <v>0.74</v>
      </c>
      <c r="F446">
        <v>6.4059999999999997</v>
      </c>
      <c r="G446">
        <v>97.2</v>
      </c>
      <c r="H446">
        <v>2.0651000000000002</v>
      </c>
      <c r="I446">
        <v>24</v>
      </c>
      <c r="J446">
        <v>666</v>
      </c>
      <c r="K446">
        <v>20.2</v>
      </c>
      <c r="L446">
        <v>385.96</v>
      </c>
      <c r="M446">
        <v>19.52</v>
      </c>
      <c r="N446">
        <v>17.100000000000001</v>
      </c>
      <c r="O446">
        <f t="shared" si="8"/>
        <v>17.295580592087283</v>
      </c>
      <c r="P446">
        <f>Table1[[#This Row],[medv]]-Table1[[#This Row],[pred_medv]]</f>
        <v>-0.19558059208728196</v>
      </c>
      <c r="Q446">
        <f>IF(Table1[[#This Row],[medv]]=0, "Undefined", ABS((N446-O446)/N446))*100</f>
        <v>1.1437461525572044</v>
      </c>
      <c r="V446">
        <v>389</v>
      </c>
      <c r="W446">
        <v>6.4519856981267978</v>
      </c>
      <c r="X446">
        <v>3.7480143018732015</v>
      </c>
    </row>
    <row r="447" spans="1:24" x14ac:dyDescent="0.3">
      <c r="A447">
        <v>5.6663699999999997</v>
      </c>
      <c r="B447">
        <v>0</v>
      </c>
      <c r="C447">
        <v>18.100000000000001</v>
      </c>
      <c r="D447">
        <v>0</v>
      </c>
      <c r="E447">
        <v>0.74</v>
      </c>
      <c r="F447">
        <v>6.2190000000000003</v>
      </c>
      <c r="G447">
        <v>100</v>
      </c>
      <c r="H447">
        <v>2.0047999999999999</v>
      </c>
      <c r="I447">
        <v>24</v>
      </c>
      <c r="J447">
        <v>666</v>
      </c>
      <c r="K447">
        <v>20.2</v>
      </c>
      <c r="L447">
        <v>395.69</v>
      </c>
      <c r="M447">
        <v>16.59</v>
      </c>
      <c r="N447">
        <v>18.399999999999999</v>
      </c>
      <c r="O447">
        <f t="shared" si="8"/>
        <v>18.740485001510947</v>
      </c>
      <c r="P447">
        <f>Table1[[#This Row],[medv]]-Table1[[#This Row],[pred_medv]]</f>
        <v>-0.34048500151094885</v>
      </c>
      <c r="Q447">
        <f>IF(Table1[[#This Row],[medv]]=0, "Undefined", ABS((N447-O447)/N447))*100</f>
        <v>1.850461964733418</v>
      </c>
      <c r="V447">
        <v>390</v>
      </c>
      <c r="W447">
        <v>14.207647351941404</v>
      </c>
      <c r="X447">
        <v>-2.7076473519414037</v>
      </c>
    </row>
    <row r="448" spans="1:24" x14ac:dyDescent="0.3">
      <c r="A448">
        <v>9.9665400000000002</v>
      </c>
      <c r="B448">
        <v>0</v>
      </c>
      <c r="C448">
        <v>18.100000000000001</v>
      </c>
      <c r="D448">
        <v>0</v>
      </c>
      <c r="E448">
        <v>0.74</v>
      </c>
      <c r="F448">
        <v>6.4850000000000003</v>
      </c>
      <c r="G448">
        <v>100</v>
      </c>
      <c r="H448">
        <v>1.9783999999999999</v>
      </c>
      <c r="I448">
        <v>24</v>
      </c>
      <c r="J448">
        <v>666</v>
      </c>
      <c r="K448">
        <v>20.2</v>
      </c>
      <c r="L448">
        <v>386.73</v>
      </c>
      <c r="M448">
        <v>18.850000000000001</v>
      </c>
      <c r="N448">
        <v>15.4</v>
      </c>
      <c r="O448">
        <f t="shared" si="8"/>
        <v>18.059010294530388</v>
      </c>
      <c r="P448">
        <f>Table1[[#This Row],[medv]]-Table1[[#This Row],[pred_medv]]</f>
        <v>-2.659010294530388</v>
      </c>
      <c r="Q448">
        <f>IF(Table1[[#This Row],[medv]]=0, "Undefined", ABS((N448-O448)/N448))*100</f>
        <v>17.266300613833689</v>
      </c>
      <c r="V448">
        <v>391</v>
      </c>
      <c r="W448">
        <v>17.212251831419348</v>
      </c>
      <c r="X448">
        <v>-2.1122518314193481</v>
      </c>
    </row>
    <row r="449" spans="1:24" x14ac:dyDescent="0.3">
      <c r="A449">
        <v>12.802300000000001</v>
      </c>
      <c r="B449">
        <v>0</v>
      </c>
      <c r="C449">
        <v>18.100000000000001</v>
      </c>
      <c r="D449">
        <v>0</v>
      </c>
      <c r="E449">
        <v>0.74</v>
      </c>
      <c r="F449">
        <v>5.8540000000000001</v>
      </c>
      <c r="G449">
        <v>96.6</v>
      </c>
      <c r="H449">
        <v>1.8956</v>
      </c>
      <c r="I449">
        <v>24</v>
      </c>
      <c r="J449">
        <v>666</v>
      </c>
      <c r="K449">
        <v>20.2</v>
      </c>
      <c r="L449">
        <v>240.52</v>
      </c>
      <c r="M449">
        <v>23.79</v>
      </c>
      <c r="N449">
        <v>10.8</v>
      </c>
      <c r="O449">
        <f t="shared" si="8"/>
        <v>11.514746833905516</v>
      </c>
      <c r="P449">
        <f>Table1[[#This Row],[medv]]-Table1[[#This Row],[pred_medv]]</f>
        <v>-0.71474683390551519</v>
      </c>
      <c r="Q449">
        <f>IF(Table1[[#This Row],[medv]]=0, "Undefined", ABS((N449-O449)/N449))*100</f>
        <v>6.6180262398658805</v>
      </c>
      <c r="V449">
        <v>392</v>
      </c>
      <c r="W449">
        <v>17.298872651551996</v>
      </c>
      <c r="X449">
        <v>5.9011273484480036</v>
      </c>
    </row>
    <row r="450" spans="1:24" x14ac:dyDescent="0.3">
      <c r="A450">
        <v>10.671799999999999</v>
      </c>
      <c r="B450">
        <v>0</v>
      </c>
      <c r="C450">
        <v>18.100000000000001</v>
      </c>
      <c r="D450">
        <v>0</v>
      </c>
      <c r="E450">
        <v>0.74</v>
      </c>
      <c r="F450">
        <v>6.4589999999999996</v>
      </c>
      <c r="G450">
        <v>94.8</v>
      </c>
      <c r="H450">
        <v>1.9879</v>
      </c>
      <c r="I450">
        <v>24</v>
      </c>
      <c r="J450">
        <v>666</v>
      </c>
      <c r="K450">
        <v>20.2</v>
      </c>
      <c r="L450">
        <v>43.06</v>
      </c>
      <c r="M450">
        <v>23.98</v>
      </c>
      <c r="N450">
        <v>11.8</v>
      </c>
      <c r="O450">
        <f t="shared" si="8"/>
        <v>11.974003586658984</v>
      </c>
      <c r="P450">
        <f>Table1[[#This Row],[medv]]-Table1[[#This Row],[pred_medv]]</f>
        <v>-0.17400358665898352</v>
      </c>
      <c r="Q450">
        <f>IF(Table1[[#This Row],[medv]]=0, "Undefined", ABS((N450-O450)/N450))*100</f>
        <v>1.4746066666015551</v>
      </c>
      <c r="V450">
        <v>393</v>
      </c>
      <c r="W450">
        <v>9.891166432275508</v>
      </c>
      <c r="X450">
        <v>-0.19116643227550867</v>
      </c>
    </row>
    <row r="451" spans="1:24" x14ac:dyDescent="0.3">
      <c r="A451">
        <v>6.2880700000000003</v>
      </c>
      <c r="B451">
        <v>0</v>
      </c>
      <c r="C451">
        <v>18.100000000000001</v>
      </c>
      <c r="D451">
        <v>0</v>
      </c>
      <c r="E451">
        <v>0.74</v>
      </c>
      <c r="F451">
        <v>6.3410000000000002</v>
      </c>
      <c r="G451">
        <v>96.4</v>
      </c>
      <c r="H451">
        <v>2.0720000000000001</v>
      </c>
      <c r="I451">
        <v>24</v>
      </c>
      <c r="J451">
        <v>666</v>
      </c>
      <c r="K451">
        <v>20.2</v>
      </c>
      <c r="L451">
        <v>318.01</v>
      </c>
      <c r="M451">
        <v>17.79</v>
      </c>
      <c r="N451">
        <v>14.9</v>
      </c>
      <c r="O451">
        <f t="shared" si="8"/>
        <v>17.683446184710064</v>
      </c>
      <c r="P451">
        <f>Table1[[#This Row],[medv]]-Table1[[#This Row],[pred_medv]]</f>
        <v>-2.7834461847100638</v>
      </c>
      <c r="Q451">
        <f>IF(Table1[[#This Row],[medv]]=0, "Undefined", ABS((N451-O451)/N451))*100</f>
        <v>18.680846877248751</v>
      </c>
      <c r="V451">
        <v>394</v>
      </c>
      <c r="W451">
        <v>20.221241934994218</v>
      </c>
      <c r="X451">
        <v>-6.4212419349942174</v>
      </c>
    </row>
    <row r="452" spans="1:24" x14ac:dyDescent="0.3">
      <c r="A452">
        <v>9.9248499999999993</v>
      </c>
      <c r="B452">
        <v>0</v>
      </c>
      <c r="C452">
        <v>18.100000000000001</v>
      </c>
      <c r="D452">
        <v>0</v>
      </c>
      <c r="E452">
        <v>0.74</v>
      </c>
      <c r="F452">
        <v>6.2510000000000003</v>
      </c>
      <c r="G452">
        <v>96.6</v>
      </c>
      <c r="H452">
        <v>2.198</v>
      </c>
      <c r="I452">
        <v>24</v>
      </c>
      <c r="J452">
        <v>666</v>
      </c>
      <c r="K452">
        <v>20.2</v>
      </c>
      <c r="L452">
        <v>388.52</v>
      </c>
      <c r="M452">
        <v>16.440000000000001</v>
      </c>
      <c r="N452">
        <v>12.6</v>
      </c>
      <c r="O452">
        <f t="shared" si="8"/>
        <v>18.126952390266084</v>
      </c>
      <c r="P452">
        <f>Table1[[#This Row],[medv]]-Table1[[#This Row],[pred_medv]]</f>
        <v>-5.526952390266084</v>
      </c>
      <c r="Q452">
        <f>IF(Table1[[#This Row],[medv]]=0, "Undefined", ABS((N452-O452)/N452))*100</f>
        <v>43.864701510048285</v>
      </c>
      <c r="V452">
        <v>395</v>
      </c>
      <c r="W452">
        <v>17.94181175322602</v>
      </c>
      <c r="X452">
        <v>-5.2418117532260204</v>
      </c>
    </row>
    <row r="453" spans="1:24" x14ac:dyDescent="0.3">
      <c r="A453">
        <v>9.3290900000000008</v>
      </c>
      <c r="B453">
        <v>0</v>
      </c>
      <c r="C453">
        <v>18.100000000000001</v>
      </c>
      <c r="D453">
        <v>0</v>
      </c>
      <c r="E453">
        <v>0.71299999999999997</v>
      </c>
      <c r="F453">
        <v>6.1849999999999996</v>
      </c>
      <c r="G453">
        <v>98.7</v>
      </c>
      <c r="H453">
        <v>2.2616000000000001</v>
      </c>
      <c r="I453">
        <v>24</v>
      </c>
      <c r="J453">
        <v>666</v>
      </c>
      <c r="K453">
        <v>20.2</v>
      </c>
      <c r="L453">
        <v>396.9</v>
      </c>
      <c r="M453">
        <v>18.13</v>
      </c>
      <c r="N453">
        <v>14.1</v>
      </c>
      <c r="O453">
        <f t="shared" ref="O453:O510" si="9">A$2+SUMPRODUCT(B$2:N$2, A453:M453)</f>
        <v>17.518346503948791</v>
      </c>
      <c r="P453">
        <f>Table1[[#This Row],[medv]]-Table1[[#This Row],[pred_medv]]</f>
        <v>-3.4183465039487917</v>
      </c>
      <c r="Q453">
        <f>IF(Table1[[#This Row],[medv]]=0, "Undefined", ABS((N453-O453)/N453))*100</f>
        <v>24.243592226587175</v>
      </c>
      <c r="V453">
        <v>396</v>
      </c>
      <c r="W453">
        <v>20.304457827468198</v>
      </c>
      <c r="X453">
        <v>-7.2044578274681985</v>
      </c>
    </row>
    <row r="454" spans="1:24" x14ac:dyDescent="0.3">
      <c r="A454">
        <v>7.5260100000000003</v>
      </c>
      <c r="B454">
        <v>0</v>
      </c>
      <c r="C454">
        <v>18.100000000000001</v>
      </c>
      <c r="D454">
        <v>0</v>
      </c>
      <c r="E454">
        <v>0.71299999999999997</v>
      </c>
      <c r="F454">
        <v>6.4169999999999998</v>
      </c>
      <c r="G454">
        <v>98.3</v>
      </c>
      <c r="H454">
        <v>2.1850000000000001</v>
      </c>
      <c r="I454">
        <v>24</v>
      </c>
      <c r="J454">
        <v>666</v>
      </c>
      <c r="K454">
        <v>20.2</v>
      </c>
      <c r="L454">
        <v>304.20999999999998</v>
      </c>
      <c r="M454">
        <v>19.309999999999999</v>
      </c>
      <c r="N454">
        <v>13</v>
      </c>
      <c r="O454">
        <f t="shared" si="9"/>
        <v>17.227425073016313</v>
      </c>
      <c r="P454">
        <f>Table1[[#This Row],[medv]]-Table1[[#This Row],[pred_medv]]</f>
        <v>-4.2274250730163132</v>
      </c>
      <c r="Q454">
        <f>IF(Table1[[#This Row],[medv]]=0, "Undefined", ABS((N454-O454)/N454))*100</f>
        <v>32.518654407817792</v>
      </c>
      <c r="V454">
        <v>397</v>
      </c>
      <c r="W454">
        <v>19.295590754746236</v>
      </c>
      <c r="X454">
        <v>-6.795590754746236</v>
      </c>
    </row>
    <row r="455" spans="1:24" x14ac:dyDescent="0.3">
      <c r="A455">
        <v>6.7177199999999999</v>
      </c>
      <c r="B455">
        <v>0</v>
      </c>
      <c r="C455">
        <v>18.100000000000001</v>
      </c>
      <c r="D455">
        <v>0</v>
      </c>
      <c r="E455">
        <v>0.71299999999999997</v>
      </c>
      <c r="F455">
        <v>6.7489999999999997</v>
      </c>
      <c r="G455">
        <v>92.6</v>
      </c>
      <c r="H455">
        <v>2.3235999999999999</v>
      </c>
      <c r="I455">
        <v>24</v>
      </c>
      <c r="J455">
        <v>666</v>
      </c>
      <c r="K455">
        <v>20.2</v>
      </c>
      <c r="L455">
        <v>0.32</v>
      </c>
      <c r="M455">
        <v>17.440000000000001</v>
      </c>
      <c r="N455">
        <v>13.4</v>
      </c>
      <c r="O455">
        <f t="shared" si="9"/>
        <v>16.522716313369266</v>
      </c>
      <c r="P455">
        <f>Table1[[#This Row],[medv]]-Table1[[#This Row],[pred_medv]]</f>
        <v>-3.1227163133692653</v>
      </c>
      <c r="Q455">
        <f>IF(Table1[[#This Row],[medv]]=0, "Undefined", ABS((N455-O455)/N455))*100</f>
        <v>23.303853084845265</v>
      </c>
      <c r="V455">
        <v>398</v>
      </c>
      <c r="W455">
        <v>16.336327793195384</v>
      </c>
      <c r="X455">
        <v>-7.8363277931953839</v>
      </c>
    </row>
    <row r="456" spans="1:24" x14ac:dyDescent="0.3">
      <c r="A456">
        <v>5.4411399999999999</v>
      </c>
      <c r="B456">
        <v>0</v>
      </c>
      <c r="C456">
        <v>18.100000000000001</v>
      </c>
      <c r="D456">
        <v>0</v>
      </c>
      <c r="E456">
        <v>0.71299999999999997</v>
      </c>
      <c r="F456">
        <v>6.6550000000000002</v>
      </c>
      <c r="G456">
        <v>98.2</v>
      </c>
      <c r="H456">
        <v>2.3552</v>
      </c>
      <c r="I456">
        <v>24</v>
      </c>
      <c r="J456">
        <v>666</v>
      </c>
      <c r="K456">
        <v>20.2</v>
      </c>
      <c r="L456">
        <v>355.29</v>
      </c>
      <c r="M456">
        <v>17.73</v>
      </c>
      <c r="N456">
        <v>15.2</v>
      </c>
      <c r="O456">
        <f t="shared" si="9"/>
        <v>19.412910950901974</v>
      </c>
      <c r="P456">
        <f>Table1[[#This Row],[medv]]-Table1[[#This Row],[pred_medv]]</f>
        <v>-4.2129109509019749</v>
      </c>
      <c r="Q456">
        <f>IF(Table1[[#This Row],[medv]]=0, "Undefined", ABS((N456-O456)/N456))*100</f>
        <v>27.716519413828784</v>
      </c>
      <c r="V456">
        <v>399</v>
      </c>
      <c r="W456">
        <v>6.5516231906833191</v>
      </c>
      <c r="X456">
        <v>-1.5516231906833191</v>
      </c>
    </row>
    <row r="457" spans="1:24" x14ac:dyDescent="0.3">
      <c r="A457">
        <v>5.0901699999999996</v>
      </c>
      <c r="B457">
        <v>0</v>
      </c>
      <c r="C457">
        <v>18.100000000000001</v>
      </c>
      <c r="D457">
        <v>0</v>
      </c>
      <c r="E457">
        <v>0.71299999999999997</v>
      </c>
      <c r="F457">
        <v>6.2969999999999997</v>
      </c>
      <c r="G457">
        <v>91.8</v>
      </c>
      <c r="H457">
        <v>2.3681999999999999</v>
      </c>
      <c r="I457">
        <v>24</v>
      </c>
      <c r="J457">
        <v>666</v>
      </c>
      <c r="K457">
        <v>20.2</v>
      </c>
      <c r="L457">
        <v>385.09</v>
      </c>
      <c r="M457">
        <v>17.27</v>
      </c>
      <c r="N457">
        <v>16.100000000000001</v>
      </c>
      <c r="O457">
        <f t="shared" si="9"/>
        <v>18.582152361805829</v>
      </c>
      <c r="P457">
        <f>Table1[[#This Row],[medv]]-Table1[[#This Row],[pred_medv]]</f>
        <v>-2.4821523618058272</v>
      </c>
      <c r="Q457">
        <f>IF(Table1[[#This Row],[medv]]=0, "Undefined", ABS((N457-O457)/N457))*100</f>
        <v>15.417095414943024</v>
      </c>
      <c r="V457">
        <v>400</v>
      </c>
      <c r="W457">
        <v>10.890167780948595</v>
      </c>
      <c r="X457">
        <v>-4.5901677809485948</v>
      </c>
    </row>
    <row r="458" spans="1:24" x14ac:dyDescent="0.3">
      <c r="A458">
        <v>8.2480899999999995</v>
      </c>
      <c r="B458">
        <v>0</v>
      </c>
      <c r="C458">
        <v>18.100000000000001</v>
      </c>
      <c r="D458">
        <v>0</v>
      </c>
      <c r="E458">
        <v>0.71299999999999997</v>
      </c>
      <c r="F458">
        <v>7.3929999999999998</v>
      </c>
      <c r="G458">
        <v>99.3</v>
      </c>
      <c r="H458">
        <v>2.4527000000000001</v>
      </c>
      <c r="I458">
        <v>24</v>
      </c>
      <c r="J458">
        <v>666</v>
      </c>
      <c r="K458">
        <v>20.2</v>
      </c>
      <c r="L458">
        <v>375.87</v>
      </c>
      <c r="M458">
        <v>16.739999999999998</v>
      </c>
      <c r="N458">
        <v>17.8</v>
      </c>
      <c r="O458">
        <f t="shared" si="9"/>
        <v>22.489447908157146</v>
      </c>
      <c r="P458">
        <f>Table1[[#This Row],[medv]]-Table1[[#This Row],[pred_medv]]</f>
        <v>-4.6894479081571454</v>
      </c>
      <c r="Q458">
        <f>IF(Table1[[#This Row],[medv]]=0, "Undefined", ABS((N458-O458)/N458))*100</f>
        <v>26.345212967174973</v>
      </c>
      <c r="V458">
        <v>401</v>
      </c>
      <c r="W458">
        <v>11.881458707412932</v>
      </c>
      <c r="X458">
        <v>-6.2814587074129324</v>
      </c>
    </row>
    <row r="459" spans="1:24" x14ac:dyDescent="0.3">
      <c r="A459">
        <v>9.5136299999999991</v>
      </c>
      <c r="B459">
        <v>0</v>
      </c>
      <c r="C459">
        <v>18.100000000000001</v>
      </c>
      <c r="D459">
        <v>0</v>
      </c>
      <c r="E459">
        <v>0.71299999999999997</v>
      </c>
      <c r="F459">
        <v>6.7279999999999998</v>
      </c>
      <c r="G459">
        <v>94.1</v>
      </c>
      <c r="H459">
        <v>2.4961000000000002</v>
      </c>
      <c r="I459">
        <v>24</v>
      </c>
      <c r="J459">
        <v>666</v>
      </c>
      <c r="K459">
        <v>20.2</v>
      </c>
      <c r="L459">
        <v>6.68</v>
      </c>
      <c r="M459">
        <v>18.71</v>
      </c>
      <c r="N459">
        <v>14.9</v>
      </c>
      <c r="O459">
        <f t="shared" si="9"/>
        <v>15.28000133037613</v>
      </c>
      <c r="P459">
        <f>Table1[[#This Row],[medv]]-Table1[[#This Row],[pred_medv]]</f>
        <v>-0.38000133037613004</v>
      </c>
      <c r="Q459">
        <f>IF(Table1[[#This Row],[medv]]=0, "Undefined", ABS((N459-O459)/N459))*100</f>
        <v>2.5503444991686579</v>
      </c>
      <c r="V459">
        <v>402</v>
      </c>
      <c r="W459">
        <v>17.811745067915233</v>
      </c>
      <c r="X459">
        <v>-10.611745067915233</v>
      </c>
    </row>
    <row r="460" spans="1:24" x14ac:dyDescent="0.3">
      <c r="A460">
        <v>4.75237</v>
      </c>
      <c r="B460">
        <v>0</v>
      </c>
      <c r="C460">
        <v>18.100000000000001</v>
      </c>
      <c r="D460">
        <v>0</v>
      </c>
      <c r="E460">
        <v>0.71299999999999997</v>
      </c>
      <c r="F460">
        <v>6.5250000000000004</v>
      </c>
      <c r="G460">
        <v>86.5</v>
      </c>
      <c r="H460">
        <v>2.4358</v>
      </c>
      <c r="I460">
        <v>24</v>
      </c>
      <c r="J460">
        <v>666</v>
      </c>
      <c r="K460">
        <v>20.2</v>
      </c>
      <c r="L460">
        <v>50.92</v>
      </c>
      <c r="M460">
        <v>18.13</v>
      </c>
      <c r="N460">
        <v>14.1</v>
      </c>
      <c r="O460">
        <f t="shared" si="9"/>
        <v>15.820893351719789</v>
      </c>
      <c r="P460">
        <f>Table1[[#This Row],[medv]]-Table1[[#This Row],[pred_medv]]</f>
        <v>-1.7208933517197895</v>
      </c>
      <c r="Q460">
        <f>IF(Table1[[#This Row],[medv]]=0, "Undefined", ABS((N460-O460)/N460))*100</f>
        <v>12.204917388083613</v>
      </c>
      <c r="V460">
        <v>403</v>
      </c>
      <c r="W460">
        <v>18.261265871695581</v>
      </c>
      <c r="X460">
        <v>-6.1612658716955817</v>
      </c>
    </row>
    <row r="461" spans="1:24" x14ac:dyDescent="0.3">
      <c r="A461">
        <v>4.6688299999999998</v>
      </c>
      <c r="B461">
        <v>0</v>
      </c>
      <c r="C461">
        <v>18.100000000000001</v>
      </c>
      <c r="D461">
        <v>0</v>
      </c>
      <c r="E461">
        <v>0.71299999999999997</v>
      </c>
      <c r="F461">
        <v>5.976</v>
      </c>
      <c r="G461">
        <v>87.9</v>
      </c>
      <c r="H461">
        <v>2.5806</v>
      </c>
      <c r="I461">
        <v>24</v>
      </c>
      <c r="J461">
        <v>666</v>
      </c>
      <c r="K461">
        <v>20.2</v>
      </c>
      <c r="L461">
        <v>10.48</v>
      </c>
      <c r="M461">
        <v>19.010000000000002</v>
      </c>
      <c r="N461">
        <v>12.7</v>
      </c>
      <c r="O461">
        <f t="shared" si="9"/>
        <v>12.687255813163723</v>
      </c>
      <c r="P461">
        <f>Table1[[#This Row],[medv]]-Table1[[#This Row],[pred_medv]]</f>
        <v>1.2744186836275873E-2</v>
      </c>
      <c r="Q461">
        <f>IF(Table1[[#This Row],[medv]]=0, "Undefined", ABS((N461-O461)/N461))*100</f>
        <v>0.10034792784469192</v>
      </c>
      <c r="V461">
        <v>404</v>
      </c>
      <c r="W461">
        <v>12.979487807352582</v>
      </c>
      <c r="X461">
        <v>-4.6794878073525812</v>
      </c>
    </row>
    <row r="462" spans="1:24" x14ac:dyDescent="0.3">
      <c r="A462">
        <v>8.2005800000000004</v>
      </c>
      <c r="B462">
        <v>0</v>
      </c>
      <c r="C462">
        <v>18.100000000000001</v>
      </c>
      <c r="D462">
        <v>0</v>
      </c>
      <c r="E462">
        <v>0.71299999999999997</v>
      </c>
      <c r="F462">
        <v>5.9359999999999999</v>
      </c>
      <c r="G462">
        <v>80.3</v>
      </c>
      <c r="H462">
        <v>2.7791999999999999</v>
      </c>
      <c r="I462">
        <v>24</v>
      </c>
      <c r="J462">
        <v>666</v>
      </c>
      <c r="K462">
        <v>20.2</v>
      </c>
      <c r="L462">
        <v>3.5</v>
      </c>
      <c r="M462">
        <v>16.940000000000001</v>
      </c>
      <c r="N462">
        <v>13.5</v>
      </c>
      <c r="O462">
        <f t="shared" si="9"/>
        <v>12.876337901958202</v>
      </c>
      <c r="P462">
        <f>Table1[[#This Row],[medv]]-Table1[[#This Row],[pred_medv]]</f>
        <v>0.62366209804179817</v>
      </c>
      <c r="Q462">
        <f>IF(Table1[[#This Row],[medv]]=0, "Undefined", ABS((N462-O462)/N462))*100</f>
        <v>4.6197192447540605</v>
      </c>
      <c r="V462">
        <v>405</v>
      </c>
      <c r="W462">
        <v>7.3781636071945265</v>
      </c>
      <c r="X462">
        <v>1.1218363928054735</v>
      </c>
    </row>
    <row r="463" spans="1:24" x14ac:dyDescent="0.3">
      <c r="A463">
        <v>7.75223</v>
      </c>
      <c r="B463">
        <v>0</v>
      </c>
      <c r="C463">
        <v>18.100000000000001</v>
      </c>
      <c r="D463">
        <v>0</v>
      </c>
      <c r="E463">
        <v>0.71299999999999997</v>
      </c>
      <c r="F463">
        <v>6.3010000000000002</v>
      </c>
      <c r="G463">
        <v>83.7</v>
      </c>
      <c r="H463">
        <v>2.7831000000000001</v>
      </c>
      <c r="I463">
        <v>24</v>
      </c>
      <c r="J463">
        <v>666</v>
      </c>
      <c r="K463">
        <v>20.2</v>
      </c>
      <c r="L463">
        <v>272.20999999999998</v>
      </c>
      <c r="M463">
        <v>16.23</v>
      </c>
      <c r="N463">
        <v>14.9</v>
      </c>
      <c r="O463">
        <f t="shared" si="9"/>
        <v>17.186685308587567</v>
      </c>
      <c r="P463">
        <f>Table1[[#This Row],[medv]]-Table1[[#This Row],[pred_medv]]</f>
        <v>-2.2866853085875665</v>
      </c>
      <c r="Q463">
        <f>IF(Table1[[#This Row],[medv]]=0, "Undefined", ABS((N463-O463)/N463))*100</f>
        <v>15.346881265688364</v>
      </c>
      <c r="V463">
        <v>406</v>
      </c>
      <c r="W463">
        <v>8.2111586138846349</v>
      </c>
      <c r="X463">
        <v>-3.2111586138846349</v>
      </c>
    </row>
    <row r="464" spans="1:24" x14ac:dyDescent="0.3">
      <c r="A464">
        <v>6.8011699999999999</v>
      </c>
      <c r="B464">
        <v>0</v>
      </c>
      <c r="C464">
        <v>18.100000000000001</v>
      </c>
      <c r="D464">
        <v>0</v>
      </c>
      <c r="E464">
        <v>0.71299999999999997</v>
      </c>
      <c r="F464">
        <v>6.0810000000000004</v>
      </c>
      <c r="G464">
        <v>84.4</v>
      </c>
      <c r="H464">
        <v>2.7174999999999998</v>
      </c>
      <c r="I464">
        <v>24</v>
      </c>
      <c r="J464">
        <v>666</v>
      </c>
      <c r="K464">
        <v>20.2</v>
      </c>
      <c r="L464">
        <v>396.9</v>
      </c>
      <c r="M464">
        <v>14.7</v>
      </c>
      <c r="N464">
        <v>20</v>
      </c>
      <c r="O464">
        <f t="shared" si="9"/>
        <v>18.512476092921681</v>
      </c>
      <c r="P464">
        <f>Table1[[#This Row],[medv]]-Table1[[#This Row],[pred_medv]]</f>
        <v>1.4875239070783195</v>
      </c>
      <c r="Q464">
        <f>IF(Table1[[#This Row],[medv]]=0, "Undefined", ABS((N464-O464)/N464))*100</f>
        <v>7.4376195353915975</v>
      </c>
      <c r="V464">
        <v>407</v>
      </c>
      <c r="W464">
        <v>8.0662619298699703</v>
      </c>
      <c r="X464">
        <v>3.8337380701300301</v>
      </c>
    </row>
    <row r="465" spans="1:24" x14ac:dyDescent="0.3">
      <c r="A465">
        <v>4.8121299999999998</v>
      </c>
      <c r="B465">
        <v>0</v>
      </c>
      <c r="C465">
        <v>18.100000000000001</v>
      </c>
      <c r="D465">
        <v>0</v>
      </c>
      <c r="E465">
        <v>0.71299999999999997</v>
      </c>
      <c r="F465">
        <v>6.7009999999999996</v>
      </c>
      <c r="G465">
        <v>90</v>
      </c>
      <c r="H465">
        <v>2.5975000000000001</v>
      </c>
      <c r="I465">
        <v>24</v>
      </c>
      <c r="J465">
        <v>666</v>
      </c>
      <c r="K465">
        <v>20.2</v>
      </c>
      <c r="L465">
        <v>255.23</v>
      </c>
      <c r="M465">
        <v>16.420000000000002</v>
      </c>
      <c r="N465">
        <v>16.399999999999999</v>
      </c>
      <c r="O465">
        <f t="shared" si="9"/>
        <v>19.048605332483231</v>
      </c>
      <c r="P465">
        <f>Table1[[#This Row],[medv]]-Table1[[#This Row],[pred_medv]]</f>
        <v>-2.6486053324832319</v>
      </c>
      <c r="Q465">
        <f>IF(Table1[[#This Row],[medv]]=0, "Undefined", ABS((N465-O465)/N465))*100</f>
        <v>16.15003251514166</v>
      </c>
      <c r="V465">
        <v>408</v>
      </c>
      <c r="W465">
        <v>19.982947859821302</v>
      </c>
      <c r="X465">
        <v>7.9170521401786971</v>
      </c>
    </row>
    <row r="466" spans="1:24" x14ac:dyDescent="0.3">
      <c r="A466">
        <v>3.6931099999999999</v>
      </c>
      <c r="B466">
        <v>0</v>
      </c>
      <c r="C466">
        <v>18.100000000000001</v>
      </c>
      <c r="D466">
        <v>0</v>
      </c>
      <c r="E466">
        <v>0.71299999999999997</v>
      </c>
      <c r="F466">
        <v>6.3760000000000003</v>
      </c>
      <c r="G466">
        <v>88.4</v>
      </c>
      <c r="H466">
        <v>2.5670999999999999</v>
      </c>
      <c r="I466">
        <v>24</v>
      </c>
      <c r="J466">
        <v>666</v>
      </c>
      <c r="K466">
        <v>20.2</v>
      </c>
      <c r="L466">
        <v>391.43</v>
      </c>
      <c r="M466">
        <v>14.65</v>
      </c>
      <c r="N466">
        <v>17.7</v>
      </c>
      <c r="O466">
        <f t="shared" si="9"/>
        <v>20.172089273293405</v>
      </c>
      <c r="P466">
        <f>Table1[[#This Row],[medv]]-Table1[[#This Row],[pred_medv]]</f>
        <v>-2.4720892732934061</v>
      </c>
      <c r="Q466">
        <f>IF(Table1[[#This Row],[medv]]=0, "Undefined", ABS((N466-O466)/N466))*100</f>
        <v>13.966606063804555</v>
      </c>
      <c r="V466">
        <v>409</v>
      </c>
      <c r="W466">
        <v>13.707563692106762</v>
      </c>
      <c r="X466">
        <v>3.4924363078932377</v>
      </c>
    </row>
    <row r="467" spans="1:24" x14ac:dyDescent="0.3">
      <c r="A467">
        <v>6.6549199999999997</v>
      </c>
      <c r="B467">
        <v>0</v>
      </c>
      <c r="C467">
        <v>18.100000000000001</v>
      </c>
      <c r="D467">
        <v>0</v>
      </c>
      <c r="E467">
        <v>0.71299999999999997</v>
      </c>
      <c r="F467">
        <v>6.3170000000000002</v>
      </c>
      <c r="G467">
        <v>83</v>
      </c>
      <c r="H467">
        <v>2.7343999999999999</v>
      </c>
      <c r="I467">
        <v>24</v>
      </c>
      <c r="J467">
        <v>666</v>
      </c>
      <c r="K467">
        <v>20.2</v>
      </c>
      <c r="L467">
        <v>396.9</v>
      </c>
      <c r="M467">
        <v>13.99</v>
      </c>
      <c r="N467">
        <v>19.5</v>
      </c>
      <c r="O467">
        <f t="shared" si="9"/>
        <v>19.774073196902552</v>
      </c>
      <c r="P467">
        <f>Table1[[#This Row],[medv]]-Table1[[#This Row],[pred_medv]]</f>
        <v>-0.2740731969025525</v>
      </c>
      <c r="Q467">
        <f>IF(Table1[[#This Row],[medv]]=0, "Undefined", ABS((N467-O467)/N467))*100</f>
        <v>1.4055035738592436</v>
      </c>
      <c r="V467">
        <v>410</v>
      </c>
      <c r="W467">
        <v>19.85268454477216</v>
      </c>
      <c r="X467">
        <v>7.6473154552278402</v>
      </c>
    </row>
    <row r="468" spans="1:24" x14ac:dyDescent="0.3">
      <c r="A468">
        <v>5.8211500000000003</v>
      </c>
      <c r="B468">
        <v>0</v>
      </c>
      <c r="C468">
        <v>18.100000000000001</v>
      </c>
      <c r="D468">
        <v>0</v>
      </c>
      <c r="E468">
        <v>0.71299999999999997</v>
      </c>
      <c r="F468">
        <v>6.5129999999999999</v>
      </c>
      <c r="G468">
        <v>89.9</v>
      </c>
      <c r="H468">
        <v>2.8016000000000001</v>
      </c>
      <c r="I468">
        <v>24</v>
      </c>
      <c r="J468">
        <v>666</v>
      </c>
      <c r="K468">
        <v>20.2</v>
      </c>
      <c r="L468">
        <v>393.82</v>
      </c>
      <c r="M468">
        <v>10.29</v>
      </c>
      <c r="N468">
        <v>20.2</v>
      </c>
      <c r="O468">
        <f t="shared" si="9"/>
        <v>22.429407678836807</v>
      </c>
      <c r="P468">
        <f>Table1[[#This Row],[medv]]-Table1[[#This Row],[pred_medv]]</f>
        <v>-2.2294076788368073</v>
      </c>
      <c r="Q468">
        <f>IF(Table1[[#This Row],[medv]]=0, "Undefined", ABS((N468-O468)/N468))*100</f>
        <v>11.036671677409938</v>
      </c>
      <c r="V468">
        <v>411</v>
      </c>
      <c r="W468">
        <v>15.223082976880999</v>
      </c>
      <c r="X468">
        <v>-0.22308297688099898</v>
      </c>
    </row>
    <row r="469" spans="1:24" x14ac:dyDescent="0.3">
      <c r="A469">
        <v>7.8393199999999998</v>
      </c>
      <c r="B469">
        <v>0</v>
      </c>
      <c r="C469">
        <v>18.100000000000001</v>
      </c>
      <c r="D469">
        <v>0</v>
      </c>
      <c r="E469">
        <v>0.65500000000000003</v>
      </c>
      <c r="F469">
        <v>6.2089999999999996</v>
      </c>
      <c r="G469">
        <v>65.400000000000006</v>
      </c>
      <c r="H469">
        <v>2.9634</v>
      </c>
      <c r="I469">
        <v>24</v>
      </c>
      <c r="J469">
        <v>666</v>
      </c>
      <c r="K469">
        <v>20.2</v>
      </c>
      <c r="L469">
        <v>396.9</v>
      </c>
      <c r="M469">
        <v>13.22</v>
      </c>
      <c r="N469">
        <v>21.4</v>
      </c>
      <c r="O469">
        <f t="shared" si="9"/>
        <v>20.319118543222867</v>
      </c>
      <c r="P469">
        <f>Table1[[#This Row],[medv]]-Table1[[#This Row],[pred_medv]]</f>
        <v>1.0808814567771314</v>
      </c>
      <c r="Q469">
        <f>IF(Table1[[#This Row],[medv]]=0, "Undefined", ABS((N469-O469)/N469))*100</f>
        <v>5.0508479288651005</v>
      </c>
      <c r="V469">
        <v>412</v>
      </c>
      <c r="W469">
        <v>16.960719809961596</v>
      </c>
      <c r="X469">
        <v>0.23928019003840362</v>
      </c>
    </row>
    <row r="470" spans="1:24" x14ac:dyDescent="0.3">
      <c r="A470">
        <v>3.1636000000000002</v>
      </c>
      <c r="B470">
        <v>0</v>
      </c>
      <c r="C470">
        <v>18.100000000000001</v>
      </c>
      <c r="D470">
        <v>0</v>
      </c>
      <c r="E470">
        <v>0.65500000000000003</v>
      </c>
      <c r="F470">
        <v>5.7590000000000003</v>
      </c>
      <c r="G470">
        <v>48.2</v>
      </c>
      <c r="H470">
        <v>3.0665</v>
      </c>
      <c r="I470">
        <v>24</v>
      </c>
      <c r="J470">
        <v>666</v>
      </c>
      <c r="K470">
        <v>20.2</v>
      </c>
      <c r="L470">
        <v>334.4</v>
      </c>
      <c r="M470">
        <v>14.13</v>
      </c>
      <c r="N470">
        <v>19.899999999999999</v>
      </c>
      <c r="O470">
        <f t="shared" si="9"/>
        <v>17.886162532167472</v>
      </c>
      <c r="P470">
        <f>Table1[[#This Row],[medv]]-Table1[[#This Row],[pred_medv]]</f>
        <v>2.013837467832527</v>
      </c>
      <c r="Q470">
        <f>IF(Table1[[#This Row],[medv]]=0, "Undefined", ABS((N470-O470)/N470))*100</f>
        <v>10.119786270515212</v>
      </c>
      <c r="V470">
        <v>413</v>
      </c>
      <c r="W470">
        <v>1.7185180678177048</v>
      </c>
      <c r="X470">
        <v>16.181481932182294</v>
      </c>
    </row>
    <row r="471" spans="1:24" x14ac:dyDescent="0.3">
      <c r="A471">
        <v>3.7749799999999998</v>
      </c>
      <c r="B471">
        <v>0</v>
      </c>
      <c r="C471">
        <v>18.100000000000001</v>
      </c>
      <c r="D471">
        <v>0</v>
      </c>
      <c r="E471">
        <v>0.65500000000000003</v>
      </c>
      <c r="F471">
        <v>5.952</v>
      </c>
      <c r="G471">
        <v>84.7</v>
      </c>
      <c r="H471">
        <v>2.8715000000000002</v>
      </c>
      <c r="I471">
        <v>24</v>
      </c>
      <c r="J471">
        <v>666</v>
      </c>
      <c r="K471">
        <v>20.2</v>
      </c>
      <c r="L471">
        <v>22.01</v>
      </c>
      <c r="M471">
        <v>17.149999999999999</v>
      </c>
      <c r="N471">
        <v>19</v>
      </c>
      <c r="O471">
        <f t="shared" si="9"/>
        <v>14.374785228367969</v>
      </c>
      <c r="P471">
        <f>Table1[[#This Row],[medv]]-Table1[[#This Row],[pred_medv]]</f>
        <v>4.6252147716320309</v>
      </c>
      <c r="Q471">
        <f>IF(Table1[[#This Row],[medv]]=0, "Undefined", ABS((N471-O471)/N471))*100</f>
        <v>24.343235640168583</v>
      </c>
      <c r="V471">
        <v>414</v>
      </c>
      <c r="W471">
        <v>11.805783871530366</v>
      </c>
      <c r="X471">
        <v>4.4942161284696347</v>
      </c>
    </row>
    <row r="472" spans="1:24" x14ac:dyDescent="0.3">
      <c r="A472">
        <v>4.4222799999999998</v>
      </c>
      <c r="B472">
        <v>0</v>
      </c>
      <c r="C472">
        <v>18.100000000000001</v>
      </c>
      <c r="D472">
        <v>0</v>
      </c>
      <c r="E472">
        <v>0.58399999999999996</v>
      </c>
      <c r="F472">
        <v>6.0030000000000001</v>
      </c>
      <c r="G472">
        <v>94.5</v>
      </c>
      <c r="H472">
        <v>2.5402999999999998</v>
      </c>
      <c r="I472">
        <v>24</v>
      </c>
      <c r="J472">
        <v>666</v>
      </c>
      <c r="K472">
        <v>20.2</v>
      </c>
      <c r="L472">
        <v>331.29</v>
      </c>
      <c r="M472">
        <v>21.32</v>
      </c>
      <c r="N472">
        <v>19.100000000000001</v>
      </c>
      <c r="O472">
        <f t="shared" si="9"/>
        <v>16.94776850719655</v>
      </c>
      <c r="P472">
        <f>Table1[[#This Row],[medv]]-Table1[[#This Row],[pred_medv]]</f>
        <v>2.1522314928034518</v>
      </c>
      <c r="Q472">
        <f>IF(Table1[[#This Row],[medv]]=0, "Undefined", ABS((N472-O472)/N472))*100</f>
        <v>11.268227711012836</v>
      </c>
      <c r="V472">
        <v>415</v>
      </c>
      <c r="W472">
        <v>-4.2813107091848828</v>
      </c>
      <c r="X472">
        <v>11.281310709184883</v>
      </c>
    </row>
    <row r="473" spans="1:24" x14ac:dyDescent="0.3">
      <c r="A473">
        <v>15.575699999999999</v>
      </c>
      <c r="B473">
        <v>0</v>
      </c>
      <c r="C473">
        <v>18.100000000000001</v>
      </c>
      <c r="D473">
        <v>0</v>
      </c>
      <c r="E473">
        <v>0.57999999999999996</v>
      </c>
      <c r="F473">
        <v>5.9260000000000002</v>
      </c>
      <c r="G473">
        <v>71</v>
      </c>
      <c r="H473">
        <v>2.9083999999999999</v>
      </c>
      <c r="I473">
        <v>24</v>
      </c>
      <c r="J473">
        <v>666</v>
      </c>
      <c r="K473">
        <v>20.2</v>
      </c>
      <c r="L473">
        <v>368.74</v>
      </c>
      <c r="M473">
        <v>18.13</v>
      </c>
      <c r="N473">
        <v>19.100000000000001</v>
      </c>
      <c r="O473">
        <f t="shared" si="9"/>
        <v>16.984057621510395</v>
      </c>
      <c r="P473">
        <f>Table1[[#This Row],[medv]]-Table1[[#This Row],[pred_medv]]</f>
        <v>2.1159423784896063</v>
      </c>
      <c r="Q473">
        <f>IF(Table1[[#This Row],[medv]]=0, "Undefined", ABS((N473-O473)/N473))*100</f>
        <v>11.07823234811312</v>
      </c>
      <c r="V473">
        <v>416</v>
      </c>
      <c r="W473">
        <v>9.5837673686321896</v>
      </c>
      <c r="X473">
        <v>-2.3837673686321894</v>
      </c>
    </row>
    <row r="474" spans="1:24" x14ac:dyDescent="0.3">
      <c r="A474">
        <v>13.075100000000001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5.7130000000000001</v>
      </c>
      <c r="G474">
        <v>56.7</v>
      </c>
      <c r="H474">
        <v>2.8237000000000001</v>
      </c>
      <c r="I474">
        <v>24</v>
      </c>
      <c r="J474">
        <v>666</v>
      </c>
      <c r="K474">
        <v>20.2</v>
      </c>
      <c r="L474">
        <v>396.9</v>
      </c>
      <c r="M474">
        <v>14.76</v>
      </c>
      <c r="N474">
        <v>20.100000000000001</v>
      </c>
      <c r="O474">
        <f t="shared" si="9"/>
        <v>18.588383967695172</v>
      </c>
      <c r="P474">
        <f>Table1[[#This Row],[medv]]-Table1[[#This Row],[pred_medv]]</f>
        <v>1.5116160323048291</v>
      </c>
      <c r="Q474">
        <f>IF(Table1[[#This Row],[medv]]=0, "Undefined", ABS((N474-O474)/N474))*100</f>
        <v>7.5204777726608416</v>
      </c>
      <c r="V474">
        <v>417</v>
      </c>
      <c r="W474">
        <v>13.366608109637424</v>
      </c>
      <c r="X474">
        <v>-5.8666081096374239</v>
      </c>
    </row>
    <row r="475" spans="1:24" x14ac:dyDescent="0.3">
      <c r="A475">
        <v>4.3487900000000002</v>
      </c>
      <c r="B475">
        <v>0</v>
      </c>
      <c r="C475">
        <v>18.100000000000001</v>
      </c>
      <c r="D475">
        <v>0</v>
      </c>
      <c r="E475">
        <v>0.57999999999999996</v>
      </c>
      <c r="F475">
        <v>6.1669999999999998</v>
      </c>
      <c r="G475">
        <v>84</v>
      </c>
      <c r="H475">
        <v>3.0333999999999999</v>
      </c>
      <c r="I475">
        <v>24</v>
      </c>
      <c r="J475">
        <v>666</v>
      </c>
      <c r="K475">
        <v>20.2</v>
      </c>
      <c r="L475">
        <v>396.9</v>
      </c>
      <c r="M475">
        <v>16.29</v>
      </c>
      <c r="N475">
        <v>19.899999999999999</v>
      </c>
      <c r="O475">
        <f t="shared" si="9"/>
        <v>20.16719441063151</v>
      </c>
      <c r="P475">
        <f>Table1[[#This Row],[medv]]-Table1[[#This Row],[pred_medv]]</f>
        <v>-0.26719441063151095</v>
      </c>
      <c r="Q475">
        <f>IF(Table1[[#This Row],[medv]]=0, "Undefined", ABS((N475-O475)/N475))*100</f>
        <v>1.3426854805603567</v>
      </c>
      <c r="V475">
        <v>418</v>
      </c>
      <c r="W475">
        <v>6.8956236258597592</v>
      </c>
      <c r="X475">
        <v>3.5043763741402412</v>
      </c>
    </row>
    <row r="476" spans="1:24" x14ac:dyDescent="0.3">
      <c r="A476">
        <v>4.0384099999999998</v>
      </c>
      <c r="B476">
        <v>0</v>
      </c>
      <c r="C476">
        <v>18.100000000000001</v>
      </c>
      <c r="D476">
        <v>0</v>
      </c>
      <c r="E476">
        <v>0.53200000000000003</v>
      </c>
      <c r="F476">
        <v>6.2290000000000001</v>
      </c>
      <c r="G476">
        <v>90.7</v>
      </c>
      <c r="H476">
        <v>3.0992999999999999</v>
      </c>
      <c r="I476">
        <v>24</v>
      </c>
      <c r="J476">
        <v>666</v>
      </c>
      <c r="K476">
        <v>20.2</v>
      </c>
      <c r="L476">
        <v>395.33</v>
      </c>
      <c r="M476">
        <v>12.87</v>
      </c>
      <c r="N476">
        <v>19.600000000000001</v>
      </c>
      <c r="O476">
        <f t="shared" si="9"/>
        <v>22.97718031714864</v>
      </c>
      <c r="P476">
        <f>Table1[[#This Row],[medv]]-Table1[[#This Row],[pred_medv]]</f>
        <v>-3.377180317148639</v>
      </c>
      <c r="Q476">
        <f>IF(Table1[[#This Row],[medv]]=0, "Undefined", ABS((N476-O476)/N476))*100</f>
        <v>17.230511822186934</v>
      </c>
      <c r="V476">
        <v>419</v>
      </c>
      <c r="W476">
        <v>6.1477985203212988</v>
      </c>
      <c r="X476">
        <v>2.6522014796787019</v>
      </c>
    </row>
    <row r="477" spans="1:24" x14ac:dyDescent="0.3">
      <c r="A477">
        <v>3.5686800000000001</v>
      </c>
      <c r="B477">
        <v>0</v>
      </c>
      <c r="C477">
        <v>18.100000000000001</v>
      </c>
      <c r="D477">
        <v>0</v>
      </c>
      <c r="E477">
        <v>0.57999999999999996</v>
      </c>
      <c r="F477">
        <v>6.4370000000000003</v>
      </c>
      <c r="G477">
        <v>75</v>
      </c>
      <c r="H477">
        <v>2.8965000000000001</v>
      </c>
      <c r="I477">
        <v>24</v>
      </c>
      <c r="J477">
        <v>666</v>
      </c>
      <c r="K477">
        <v>20.2</v>
      </c>
      <c r="L477">
        <v>393.37</v>
      </c>
      <c r="M477">
        <v>14.36</v>
      </c>
      <c r="N477">
        <v>23.2</v>
      </c>
      <c r="O477">
        <f t="shared" si="9"/>
        <v>22.455807263536236</v>
      </c>
      <c r="P477">
        <f>Table1[[#This Row],[medv]]-Table1[[#This Row],[pred_medv]]</f>
        <v>0.74419273646376283</v>
      </c>
      <c r="Q477">
        <f>IF(Table1[[#This Row],[medv]]=0, "Undefined", ABS((N477-O477)/N477))*100</f>
        <v>3.2077273123438053</v>
      </c>
      <c r="V477">
        <v>420</v>
      </c>
      <c r="W477">
        <v>14.606617942384224</v>
      </c>
      <c r="X477">
        <v>-6.2066179423842236</v>
      </c>
    </row>
    <row r="478" spans="1:24" x14ac:dyDescent="0.3">
      <c r="A478">
        <v>4.64689</v>
      </c>
      <c r="B478">
        <v>0</v>
      </c>
      <c r="C478">
        <v>18.100000000000001</v>
      </c>
      <c r="D478">
        <v>0</v>
      </c>
      <c r="E478">
        <v>0.61399999999999999</v>
      </c>
      <c r="F478">
        <v>6.98</v>
      </c>
      <c r="G478">
        <v>67.599999999999994</v>
      </c>
      <c r="H478">
        <v>2.5329000000000002</v>
      </c>
      <c r="I478">
        <v>24</v>
      </c>
      <c r="J478">
        <v>666</v>
      </c>
      <c r="K478">
        <v>20.2</v>
      </c>
      <c r="L478">
        <v>374.68</v>
      </c>
      <c r="M478">
        <v>11.66</v>
      </c>
      <c r="N478">
        <v>29.8</v>
      </c>
      <c r="O478">
        <f t="shared" si="9"/>
        <v>25.578246265482541</v>
      </c>
      <c r="P478">
        <f>Table1[[#This Row],[medv]]-Table1[[#This Row],[pred_medv]]</f>
        <v>4.2217537345174598</v>
      </c>
      <c r="Q478">
        <f>IF(Table1[[#This Row],[medv]]=0, "Undefined", ABS((N478-O478)/N478))*100</f>
        <v>14.166958840662616</v>
      </c>
      <c r="V478">
        <v>421</v>
      </c>
      <c r="W478">
        <v>19.600026701987403</v>
      </c>
      <c r="X478">
        <v>-2.9000267019874038</v>
      </c>
    </row>
    <row r="479" spans="1:24" x14ac:dyDescent="0.3">
      <c r="A479">
        <v>8.05579</v>
      </c>
      <c r="B479">
        <v>0</v>
      </c>
      <c r="C479">
        <v>18.100000000000001</v>
      </c>
      <c r="D479">
        <v>0</v>
      </c>
      <c r="E479">
        <v>0.58399999999999996</v>
      </c>
      <c r="F479">
        <v>5.4269999999999996</v>
      </c>
      <c r="G479">
        <v>95.4</v>
      </c>
      <c r="H479">
        <v>2.4298000000000002</v>
      </c>
      <c r="I479">
        <v>24</v>
      </c>
      <c r="J479">
        <v>666</v>
      </c>
      <c r="K479">
        <v>20.2</v>
      </c>
      <c r="L479">
        <v>352.58</v>
      </c>
      <c r="M479">
        <v>18.14</v>
      </c>
      <c r="N479">
        <v>13.8</v>
      </c>
      <c r="O479">
        <f t="shared" si="9"/>
        <v>16.391476316355522</v>
      </c>
      <c r="P479">
        <f>Table1[[#This Row],[medv]]-Table1[[#This Row],[pred_medv]]</f>
        <v>-2.5914763163555214</v>
      </c>
      <c r="Q479">
        <f>IF(Table1[[#This Row],[medv]]=0, "Undefined", ABS((N479-O479)/N479))*100</f>
        <v>18.778813886634214</v>
      </c>
      <c r="V479">
        <v>422</v>
      </c>
      <c r="W479">
        <v>18.12427475887776</v>
      </c>
      <c r="X479">
        <v>-3.9242747588777611</v>
      </c>
    </row>
    <row r="480" spans="1:24" x14ac:dyDescent="0.3">
      <c r="A480">
        <v>6.3931199999999997</v>
      </c>
      <c r="B480">
        <v>0</v>
      </c>
      <c r="C480">
        <v>18.100000000000001</v>
      </c>
      <c r="D480">
        <v>0</v>
      </c>
      <c r="E480">
        <v>0.58399999999999996</v>
      </c>
      <c r="F480">
        <v>6.1619999999999999</v>
      </c>
      <c r="G480">
        <v>97.4</v>
      </c>
      <c r="H480">
        <v>2.206</v>
      </c>
      <c r="I480">
        <v>24</v>
      </c>
      <c r="J480">
        <v>666</v>
      </c>
      <c r="K480">
        <v>20.2</v>
      </c>
      <c r="L480">
        <v>302.76</v>
      </c>
      <c r="M480">
        <v>24.1</v>
      </c>
      <c r="N480">
        <v>13.3</v>
      </c>
      <c r="O480">
        <f t="shared" si="9"/>
        <v>16.111462804301706</v>
      </c>
      <c r="P480">
        <f>Table1[[#This Row],[medv]]-Table1[[#This Row],[pred_medv]]</f>
        <v>-2.8114628043017049</v>
      </c>
      <c r="Q480">
        <f>IF(Table1[[#This Row],[medv]]=0, "Undefined", ABS((N480-O480)/N480))*100</f>
        <v>21.138818077456424</v>
      </c>
      <c r="V480">
        <v>423</v>
      </c>
      <c r="W480">
        <v>18.52177132151628</v>
      </c>
      <c r="X480">
        <v>2.2782286784837211</v>
      </c>
    </row>
    <row r="481" spans="1:24" x14ac:dyDescent="0.3">
      <c r="A481">
        <v>4.87141</v>
      </c>
      <c r="B481">
        <v>0</v>
      </c>
      <c r="C481">
        <v>18.100000000000001</v>
      </c>
      <c r="D481">
        <v>0</v>
      </c>
      <c r="E481">
        <v>0.61399999999999999</v>
      </c>
      <c r="F481">
        <v>6.484</v>
      </c>
      <c r="G481">
        <v>93.6</v>
      </c>
      <c r="H481">
        <v>2.3052999999999999</v>
      </c>
      <c r="I481">
        <v>24</v>
      </c>
      <c r="J481">
        <v>666</v>
      </c>
      <c r="K481">
        <v>20.2</v>
      </c>
      <c r="L481">
        <v>396.21</v>
      </c>
      <c r="M481">
        <v>18.68</v>
      </c>
      <c r="N481">
        <v>16.7</v>
      </c>
      <c r="O481">
        <f t="shared" si="9"/>
        <v>20.534815995890469</v>
      </c>
      <c r="P481">
        <f>Table1[[#This Row],[medv]]-Table1[[#This Row],[pred_medv]]</f>
        <v>-3.8348159958904695</v>
      </c>
      <c r="Q481">
        <f>IF(Table1[[#This Row],[medv]]=0, "Undefined", ABS((N481-O481)/N481))*100</f>
        <v>22.962970035272274</v>
      </c>
      <c r="V481">
        <v>424</v>
      </c>
      <c r="W481">
        <v>13.175286104567242</v>
      </c>
      <c r="X481">
        <v>0.22471389543275855</v>
      </c>
    </row>
    <row r="482" spans="1:24" x14ac:dyDescent="0.3">
      <c r="A482">
        <v>15.023400000000001</v>
      </c>
      <c r="B482">
        <v>0</v>
      </c>
      <c r="C482">
        <v>18.100000000000001</v>
      </c>
      <c r="D482">
        <v>0</v>
      </c>
      <c r="E482">
        <v>0.61399999999999999</v>
      </c>
      <c r="F482">
        <v>5.3040000000000003</v>
      </c>
      <c r="G482">
        <v>97.3</v>
      </c>
      <c r="H482">
        <v>2.1006999999999998</v>
      </c>
      <c r="I482">
        <v>24</v>
      </c>
      <c r="J482">
        <v>666</v>
      </c>
      <c r="K482">
        <v>20.2</v>
      </c>
      <c r="L482">
        <v>349.48</v>
      </c>
      <c r="M482">
        <v>24.91</v>
      </c>
      <c r="N482">
        <v>12</v>
      </c>
      <c r="O482">
        <f t="shared" si="9"/>
        <v>11.542727381565022</v>
      </c>
      <c r="P482">
        <f>Table1[[#This Row],[medv]]-Table1[[#This Row],[pred_medv]]</f>
        <v>0.45727261843497757</v>
      </c>
      <c r="Q482">
        <f>IF(Table1[[#This Row],[medv]]=0, "Undefined", ABS((N482-O482)/N482))*100</f>
        <v>3.8106051536248131</v>
      </c>
      <c r="V482">
        <v>425</v>
      </c>
      <c r="W482">
        <v>14.626176241815555</v>
      </c>
      <c r="X482">
        <v>-2.9261762418155559</v>
      </c>
    </row>
    <row r="483" spans="1:24" x14ac:dyDescent="0.3">
      <c r="A483">
        <v>10.233000000000001</v>
      </c>
      <c r="B483">
        <v>0</v>
      </c>
      <c r="C483">
        <v>18.100000000000001</v>
      </c>
      <c r="D483">
        <v>0</v>
      </c>
      <c r="E483">
        <v>0.61399999999999999</v>
      </c>
      <c r="F483">
        <v>6.1849999999999996</v>
      </c>
      <c r="G483">
        <v>96.7</v>
      </c>
      <c r="H483">
        <v>2.1705000000000001</v>
      </c>
      <c r="I483">
        <v>24</v>
      </c>
      <c r="J483">
        <v>666</v>
      </c>
      <c r="K483">
        <v>20.2</v>
      </c>
      <c r="L483">
        <v>379.7</v>
      </c>
      <c r="M483">
        <v>18.03</v>
      </c>
      <c r="N483">
        <v>14.6</v>
      </c>
      <c r="O483">
        <f t="shared" si="9"/>
        <v>19.204963044918035</v>
      </c>
      <c r="P483">
        <f>Table1[[#This Row],[medv]]-Table1[[#This Row],[pred_medv]]</f>
        <v>-4.6049630449180352</v>
      </c>
      <c r="Q483">
        <f>IF(Table1[[#This Row],[medv]]=0, "Undefined", ABS((N483-O483)/N483))*100</f>
        <v>31.5408427734112</v>
      </c>
      <c r="V483">
        <v>426</v>
      </c>
      <c r="W483">
        <v>9.923749759662611</v>
      </c>
      <c r="X483">
        <v>-1.6237497596626103</v>
      </c>
    </row>
    <row r="484" spans="1:24" x14ac:dyDescent="0.3">
      <c r="A484">
        <v>14.3337</v>
      </c>
      <c r="B484">
        <v>0</v>
      </c>
      <c r="C484">
        <v>18.100000000000001</v>
      </c>
      <c r="D484">
        <v>0</v>
      </c>
      <c r="E484">
        <v>0.61399999999999999</v>
      </c>
      <c r="F484">
        <v>6.2290000000000001</v>
      </c>
      <c r="G484">
        <v>88</v>
      </c>
      <c r="H484">
        <v>1.9512</v>
      </c>
      <c r="I484">
        <v>24</v>
      </c>
      <c r="J484">
        <v>666</v>
      </c>
      <c r="K484">
        <v>20.2</v>
      </c>
      <c r="L484">
        <v>383.32</v>
      </c>
      <c r="M484">
        <v>13.11</v>
      </c>
      <c r="N484">
        <v>21.4</v>
      </c>
      <c r="O484">
        <f t="shared" si="9"/>
        <v>21.86276390630557</v>
      </c>
      <c r="P484">
        <f>Table1[[#This Row],[medv]]-Table1[[#This Row],[pred_medv]]</f>
        <v>-0.46276390630557174</v>
      </c>
      <c r="Q484">
        <f>IF(Table1[[#This Row],[medv]]=0, "Undefined", ABS((N484-O484)/N484))*100</f>
        <v>2.1624481603064099</v>
      </c>
      <c r="V484">
        <v>427</v>
      </c>
      <c r="W484">
        <v>16.345906466575421</v>
      </c>
      <c r="X484">
        <v>-6.1459064665754219</v>
      </c>
    </row>
    <row r="485" spans="1:24" x14ac:dyDescent="0.3">
      <c r="A485">
        <v>5.8240100000000004</v>
      </c>
      <c r="B485">
        <v>0</v>
      </c>
      <c r="C485">
        <v>18.100000000000001</v>
      </c>
      <c r="D485">
        <v>0</v>
      </c>
      <c r="E485">
        <v>0.53200000000000003</v>
      </c>
      <c r="F485">
        <v>6.242</v>
      </c>
      <c r="G485">
        <v>64.7</v>
      </c>
      <c r="H485">
        <v>3.4241999999999999</v>
      </c>
      <c r="I485">
        <v>24</v>
      </c>
      <c r="J485">
        <v>666</v>
      </c>
      <c r="K485">
        <v>20.2</v>
      </c>
      <c r="L485">
        <v>396.9</v>
      </c>
      <c r="M485">
        <v>10.74</v>
      </c>
      <c r="N485">
        <v>23</v>
      </c>
      <c r="O485">
        <f t="shared" si="9"/>
        <v>23.46878866307134</v>
      </c>
      <c r="P485">
        <f>Table1[[#This Row],[medv]]-Table1[[#This Row],[pred_medv]]</f>
        <v>-0.46878866307134004</v>
      </c>
      <c r="Q485">
        <f>IF(Table1[[#This Row],[medv]]=0, "Undefined", ABS((N485-O485)/N485))*100</f>
        <v>2.0382115785710435</v>
      </c>
      <c r="V485">
        <v>428</v>
      </c>
      <c r="W485">
        <v>14.07519425523105</v>
      </c>
      <c r="X485">
        <v>-3.1751942552310499</v>
      </c>
    </row>
    <row r="486" spans="1:24" x14ac:dyDescent="0.3">
      <c r="A486">
        <v>5.7081799999999996</v>
      </c>
      <c r="B486">
        <v>0</v>
      </c>
      <c r="C486">
        <v>18.100000000000001</v>
      </c>
      <c r="D486">
        <v>0</v>
      </c>
      <c r="E486">
        <v>0.53200000000000003</v>
      </c>
      <c r="F486">
        <v>6.75</v>
      </c>
      <c r="G486">
        <v>74.900000000000006</v>
      </c>
      <c r="H486">
        <v>3.3317000000000001</v>
      </c>
      <c r="I486">
        <v>24</v>
      </c>
      <c r="J486">
        <v>666</v>
      </c>
      <c r="K486">
        <v>20.2</v>
      </c>
      <c r="L486">
        <v>393.07</v>
      </c>
      <c r="M486">
        <v>7.74</v>
      </c>
      <c r="N486">
        <v>23.7</v>
      </c>
      <c r="O486">
        <f t="shared" si="9"/>
        <v>27.098873154886029</v>
      </c>
      <c r="P486">
        <f>Table1[[#This Row],[medv]]-Table1[[#This Row],[pred_medv]]</f>
        <v>-3.3988731548860294</v>
      </c>
      <c r="Q486">
        <f>IF(Table1[[#This Row],[medv]]=0, "Undefined", ABS((N486-O486)/N486))*100</f>
        <v>14.341236940447383</v>
      </c>
      <c r="V486">
        <v>429</v>
      </c>
      <c r="W486">
        <v>14.25756242606389</v>
      </c>
      <c r="X486">
        <v>-3.25756242606389</v>
      </c>
    </row>
    <row r="487" spans="1:24" x14ac:dyDescent="0.3">
      <c r="A487">
        <v>5.73116</v>
      </c>
      <c r="B487">
        <v>0</v>
      </c>
      <c r="C487">
        <v>18.100000000000001</v>
      </c>
      <c r="D487">
        <v>0</v>
      </c>
      <c r="E487">
        <v>0.53200000000000003</v>
      </c>
      <c r="F487">
        <v>7.0609999999999999</v>
      </c>
      <c r="G487">
        <v>77</v>
      </c>
      <c r="H487">
        <v>3.4106000000000001</v>
      </c>
      <c r="I487">
        <v>24</v>
      </c>
      <c r="J487">
        <v>666</v>
      </c>
      <c r="K487">
        <v>20.2</v>
      </c>
      <c r="L487">
        <v>395.28</v>
      </c>
      <c r="M487">
        <v>7.01</v>
      </c>
      <c r="N487">
        <v>25</v>
      </c>
      <c r="O487">
        <f t="shared" si="9"/>
        <v>28.569943016697067</v>
      </c>
      <c r="P487">
        <f>Table1[[#This Row],[medv]]-Table1[[#This Row],[pred_medv]]</f>
        <v>-3.5699430166970672</v>
      </c>
      <c r="Q487">
        <f>IF(Table1[[#This Row],[medv]]=0, "Undefined", ABS((N487-O487)/N487))*100</f>
        <v>14.279772066788269</v>
      </c>
      <c r="V487">
        <v>430</v>
      </c>
      <c r="W487">
        <v>13.042347874621862</v>
      </c>
      <c r="X487">
        <v>-3.5423478746218624</v>
      </c>
    </row>
    <row r="488" spans="1:24" x14ac:dyDescent="0.3">
      <c r="A488">
        <v>2.8183799999999999</v>
      </c>
      <c r="B488">
        <v>0</v>
      </c>
      <c r="C488">
        <v>18.100000000000001</v>
      </c>
      <c r="D488">
        <v>0</v>
      </c>
      <c r="E488">
        <v>0.53200000000000003</v>
      </c>
      <c r="F488">
        <v>5.7619999999999996</v>
      </c>
      <c r="G488">
        <v>40.299999999999997</v>
      </c>
      <c r="H488">
        <v>4.0983000000000001</v>
      </c>
      <c r="I488">
        <v>24</v>
      </c>
      <c r="J488">
        <v>666</v>
      </c>
      <c r="K488">
        <v>20.2</v>
      </c>
      <c r="L488">
        <v>392.92</v>
      </c>
      <c r="M488">
        <v>10.42</v>
      </c>
      <c r="N488">
        <v>21.8</v>
      </c>
      <c r="O488">
        <f t="shared" si="9"/>
        <v>21.083987830898451</v>
      </c>
      <c r="P488">
        <f>Table1[[#This Row],[medv]]-Table1[[#This Row],[pred_medv]]</f>
        <v>0.71601216910154974</v>
      </c>
      <c r="Q488">
        <f>IF(Table1[[#This Row],[medv]]=0, "Undefined", ABS((N488-O488)/N488))*100</f>
        <v>3.2844594912915124</v>
      </c>
      <c r="V488">
        <v>431</v>
      </c>
      <c r="W488">
        <v>18.159556933720559</v>
      </c>
      <c r="X488">
        <v>-3.6595569337205589</v>
      </c>
    </row>
    <row r="489" spans="1:24" x14ac:dyDescent="0.3">
      <c r="A489">
        <v>2.3785699999999999</v>
      </c>
      <c r="B489">
        <v>0</v>
      </c>
      <c r="C489">
        <v>18.100000000000001</v>
      </c>
      <c r="D489">
        <v>0</v>
      </c>
      <c r="E489">
        <v>0.58299999999999996</v>
      </c>
      <c r="F489">
        <v>5.8710000000000004</v>
      </c>
      <c r="G489">
        <v>41.9</v>
      </c>
      <c r="H489">
        <v>3.7240000000000002</v>
      </c>
      <c r="I489">
        <v>24</v>
      </c>
      <c r="J489">
        <v>666</v>
      </c>
      <c r="K489">
        <v>20.2</v>
      </c>
      <c r="L489">
        <v>370.73</v>
      </c>
      <c r="M489">
        <v>13.34</v>
      </c>
      <c r="N489">
        <v>20.6</v>
      </c>
      <c r="O489">
        <f t="shared" si="9"/>
        <v>19.455161955636768</v>
      </c>
      <c r="P489">
        <f>Table1[[#This Row],[medv]]-Table1[[#This Row],[pred_medv]]</f>
        <v>1.1448380443632331</v>
      </c>
      <c r="Q489">
        <f>IF(Table1[[#This Row],[medv]]=0, "Undefined", ABS((N489-O489)/N489))*100</f>
        <v>5.557466234772976</v>
      </c>
      <c r="V489">
        <v>432</v>
      </c>
      <c r="W489">
        <v>18.695543541176249</v>
      </c>
      <c r="X489">
        <v>-4.5955435411762497</v>
      </c>
    </row>
    <row r="490" spans="1:24" x14ac:dyDescent="0.3">
      <c r="A490">
        <v>3.67367</v>
      </c>
      <c r="B490">
        <v>0</v>
      </c>
      <c r="C490">
        <v>18.100000000000001</v>
      </c>
      <c r="D490">
        <v>0</v>
      </c>
      <c r="E490">
        <v>0.58299999999999996</v>
      </c>
      <c r="F490">
        <v>6.3120000000000003</v>
      </c>
      <c r="G490">
        <v>51.9</v>
      </c>
      <c r="H490">
        <v>3.9916999999999998</v>
      </c>
      <c r="I490">
        <v>24</v>
      </c>
      <c r="J490">
        <v>666</v>
      </c>
      <c r="K490">
        <v>20.2</v>
      </c>
      <c r="L490">
        <v>388.62</v>
      </c>
      <c r="M490">
        <v>10.58</v>
      </c>
      <c r="N490">
        <v>21.2</v>
      </c>
      <c r="O490">
        <f t="shared" si="9"/>
        <v>22.222259140790772</v>
      </c>
      <c r="P490">
        <f>Table1[[#This Row],[medv]]-Table1[[#This Row],[pred_medv]]</f>
        <v>-1.0222591407907728</v>
      </c>
      <c r="Q490">
        <f>IF(Table1[[#This Row],[medv]]=0, "Undefined", ABS((N490-O490)/N490))*100</f>
        <v>4.8219770792017584</v>
      </c>
      <c r="V490">
        <v>433</v>
      </c>
      <c r="W490">
        <v>21.527283002111503</v>
      </c>
      <c r="X490">
        <v>-5.4272830021115013</v>
      </c>
    </row>
    <row r="491" spans="1:24" x14ac:dyDescent="0.3">
      <c r="A491">
        <v>5.6917499999999999</v>
      </c>
      <c r="B491">
        <v>0</v>
      </c>
      <c r="C491">
        <v>18.100000000000001</v>
      </c>
      <c r="D491">
        <v>0</v>
      </c>
      <c r="E491">
        <v>0.58299999999999996</v>
      </c>
      <c r="F491">
        <v>6.1139999999999999</v>
      </c>
      <c r="G491">
        <v>79.8</v>
      </c>
      <c r="H491">
        <v>3.5459000000000001</v>
      </c>
      <c r="I491">
        <v>24</v>
      </c>
      <c r="J491">
        <v>666</v>
      </c>
      <c r="K491">
        <v>20.2</v>
      </c>
      <c r="L491">
        <v>392.68</v>
      </c>
      <c r="M491">
        <v>14.98</v>
      </c>
      <c r="N491">
        <v>19.100000000000001</v>
      </c>
      <c r="O491">
        <f t="shared" si="9"/>
        <v>19.65591960758092</v>
      </c>
      <c r="P491">
        <f>Table1[[#This Row],[medv]]-Table1[[#This Row],[pred_medv]]</f>
        <v>-0.5559196075809183</v>
      </c>
      <c r="Q491">
        <f>IF(Table1[[#This Row],[medv]]=0, "Undefined", ABS((N491-O491)/N491))*100</f>
        <v>2.9105738616802004</v>
      </c>
      <c r="V491">
        <v>434</v>
      </c>
      <c r="W491">
        <v>17.031418608646725</v>
      </c>
      <c r="X491">
        <v>-2.7314186086467238</v>
      </c>
    </row>
    <row r="492" spans="1:24" x14ac:dyDescent="0.3">
      <c r="A492">
        <v>4.8356700000000004</v>
      </c>
      <c r="B492">
        <v>0</v>
      </c>
      <c r="C492">
        <v>18.100000000000001</v>
      </c>
      <c r="D492">
        <v>0</v>
      </c>
      <c r="E492">
        <v>0.58299999999999996</v>
      </c>
      <c r="F492">
        <v>5.9050000000000002</v>
      </c>
      <c r="G492">
        <v>53.2</v>
      </c>
      <c r="H492">
        <v>3.1522999999999999</v>
      </c>
      <c r="I492">
        <v>24</v>
      </c>
      <c r="J492">
        <v>666</v>
      </c>
      <c r="K492">
        <v>20.2</v>
      </c>
      <c r="L492">
        <v>388.22</v>
      </c>
      <c r="M492">
        <v>11.45</v>
      </c>
      <c r="N492">
        <v>20.6</v>
      </c>
      <c r="O492">
        <f t="shared" si="9"/>
        <v>21.325361043998573</v>
      </c>
      <c r="P492">
        <f>Table1[[#This Row],[medv]]-Table1[[#This Row],[pred_medv]]</f>
        <v>-0.72536104399857138</v>
      </c>
      <c r="Q492">
        <f>IF(Table1[[#This Row],[medv]]=0, "Undefined", ABS((N492-O492)/N492))*100</f>
        <v>3.521170116497919</v>
      </c>
      <c r="V492">
        <v>435</v>
      </c>
      <c r="W492">
        <v>15.960904353333312</v>
      </c>
      <c r="X492">
        <v>-4.2609043533333129</v>
      </c>
    </row>
    <row r="493" spans="1:24" x14ac:dyDescent="0.3">
      <c r="A493">
        <v>0.15085999999999999</v>
      </c>
      <c r="B493">
        <v>0</v>
      </c>
      <c r="C493">
        <v>27.74</v>
      </c>
      <c r="D493">
        <v>0</v>
      </c>
      <c r="E493">
        <v>0.60899999999999999</v>
      </c>
      <c r="F493">
        <v>5.4539999999999997</v>
      </c>
      <c r="G493">
        <v>92.7</v>
      </c>
      <c r="H493">
        <v>1.8209</v>
      </c>
      <c r="I493">
        <v>4</v>
      </c>
      <c r="J493">
        <v>711</v>
      </c>
      <c r="K493">
        <v>20.100000000000001</v>
      </c>
      <c r="L493">
        <v>395.09</v>
      </c>
      <c r="M493">
        <v>18.059999999999999</v>
      </c>
      <c r="N493">
        <v>15.2</v>
      </c>
      <c r="O493">
        <f t="shared" si="9"/>
        <v>11.855837166491121</v>
      </c>
      <c r="P493">
        <f>Table1[[#This Row],[medv]]-Table1[[#This Row],[pred_medv]]</f>
        <v>3.3441628335088787</v>
      </c>
      <c r="Q493">
        <f>IF(Table1[[#This Row],[medv]]=0, "Undefined", ABS((N493-O493)/N493))*100</f>
        <v>22.00107127308473</v>
      </c>
      <c r="V493">
        <v>436</v>
      </c>
      <c r="W493">
        <v>13.361416107105407</v>
      </c>
      <c r="X493">
        <v>3.8583892894592964E-2</v>
      </c>
    </row>
    <row r="494" spans="1:24" x14ac:dyDescent="0.3">
      <c r="A494">
        <v>0.18337000000000001</v>
      </c>
      <c r="B494">
        <v>0</v>
      </c>
      <c r="C494">
        <v>27.74</v>
      </c>
      <c r="D494">
        <v>0</v>
      </c>
      <c r="E494">
        <v>0.60899999999999999</v>
      </c>
      <c r="F494">
        <v>5.4139999999999997</v>
      </c>
      <c r="G494">
        <v>98.3</v>
      </c>
      <c r="H494">
        <v>1.7554000000000001</v>
      </c>
      <c r="I494">
        <v>4</v>
      </c>
      <c r="J494">
        <v>711</v>
      </c>
      <c r="K494">
        <v>20.100000000000001</v>
      </c>
      <c r="L494">
        <v>344.05</v>
      </c>
      <c r="M494">
        <v>23.97</v>
      </c>
      <c r="N494">
        <v>7</v>
      </c>
      <c r="O494">
        <f t="shared" si="9"/>
        <v>8.2238668679278462</v>
      </c>
      <c r="P494">
        <f>Table1[[#This Row],[medv]]-Table1[[#This Row],[pred_medv]]</f>
        <v>-1.2238668679278462</v>
      </c>
      <c r="Q494">
        <f>IF(Table1[[#This Row],[medv]]=0, "Undefined", ABS((N494-O494)/N494))*100</f>
        <v>17.483812398969231</v>
      </c>
      <c r="V494">
        <v>437</v>
      </c>
      <c r="W494">
        <v>14.520793839061701</v>
      </c>
      <c r="X494">
        <v>-4.9207938390617016</v>
      </c>
    </row>
    <row r="495" spans="1:24" x14ac:dyDescent="0.3">
      <c r="A495">
        <v>0.20746000000000001</v>
      </c>
      <c r="B495">
        <v>0</v>
      </c>
      <c r="C495">
        <v>27.74</v>
      </c>
      <c r="D495">
        <v>0</v>
      </c>
      <c r="E495">
        <v>0.60899999999999999</v>
      </c>
      <c r="F495">
        <v>5.093</v>
      </c>
      <c r="G495">
        <v>98</v>
      </c>
      <c r="H495">
        <v>1.8226</v>
      </c>
      <c r="I495">
        <v>4</v>
      </c>
      <c r="J495">
        <v>711</v>
      </c>
      <c r="K495">
        <v>20.100000000000001</v>
      </c>
      <c r="L495">
        <v>318.43</v>
      </c>
      <c r="M495">
        <v>29.68</v>
      </c>
      <c r="N495">
        <v>8.1</v>
      </c>
      <c r="O495">
        <f t="shared" si="9"/>
        <v>3.663996720485919</v>
      </c>
      <c r="P495">
        <f>Table1[[#This Row],[medv]]-Table1[[#This Row],[pred_medv]]</f>
        <v>4.4360032795140807</v>
      </c>
      <c r="Q495">
        <f>IF(Table1[[#This Row],[medv]]=0, "Undefined", ABS((N495-O495)/N495))*100</f>
        <v>54.765472586593589</v>
      </c>
      <c r="V495">
        <v>438</v>
      </c>
      <c r="W495">
        <v>8.8197600542603265</v>
      </c>
      <c r="X495">
        <v>-0.11976005426032721</v>
      </c>
    </row>
    <row r="496" spans="1:24" x14ac:dyDescent="0.3">
      <c r="A496">
        <v>0.10574</v>
      </c>
      <c r="B496">
        <v>0</v>
      </c>
      <c r="C496">
        <v>27.74</v>
      </c>
      <c r="D496">
        <v>0</v>
      </c>
      <c r="E496">
        <v>0.60899999999999999</v>
      </c>
      <c r="F496">
        <v>5.9829999999999997</v>
      </c>
      <c r="G496">
        <v>98.8</v>
      </c>
      <c r="H496">
        <v>1.8681000000000001</v>
      </c>
      <c r="I496">
        <v>4</v>
      </c>
      <c r="J496">
        <v>711</v>
      </c>
      <c r="K496">
        <v>20.100000000000001</v>
      </c>
      <c r="L496">
        <v>390.11</v>
      </c>
      <c r="M496">
        <v>18.07</v>
      </c>
      <c r="N496">
        <v>13.6</v>
      </c>
      <c r="O496">
        <f t="shared" si="9"/>
        <v>13.759085382070513</v>
      </c>
      <c r="P496">
        <f>Table1[[#This Row],[medv]]-Table1[[#This Row],[pred_medv]]</f>
        <v>-0.15908538207051315</v>
      </c>
      <c r="Q496">
        <f>IF(Table1[[#This Row],[medv]]=0, "Undefined", ABS((N496-O496)/N496))*100</f>
        <v>1.1697454564008321</v>
      </c>
      <c r="V496">
        <v>439</v>
      </c>
      <c r="W496">
        <v>4.8675110227661591</v>
      </c>
      <c r="X496">
        <v>3.5324889772338413</v>
      </c>
    </row>
    <row r="497" spans="1:24" x14ac:dyDescent="0.3">
      <c r="A497">
        <v>0.11132</v>
      </c>
      <c r="B497">
        <v>0</v>
      </c>
      <c r="C497">
        <v>27.74</v>
      </c>
      <c r="D497">
        <v>0</v>
      </c>
      <c r="E497">
        <v>0.60899999999999999</v>
      </c>
      <c r="F497">
        <v>5.9829999999999997</v>
      </c>
      <c r="G497">
        <v>83.5</v>
      </c>
      <c r="H497">
        <v>2.1099000000000001</v>
      </c>
      <c r="I497">
        <v>4</v>
      </c>
      <c r="J497">
        <v>711</v>
      </c>
      <c r="K497">
        <v>20.100000000000001</v>
      </c>
      <c r="L497">
        <v>396.9</v>
      </c>
      <c r="M497">
        <v>13.35</v>
      </c>
      <c r="N497">
        <v>20.100000000000001</v>
      </c>
      <c r="O497">
        <f t="shared" si="9"/>
        <v>15.931185451337335</v>
      </c>
      <c r="P497">
        <f>Table1[[#This Row],[medv]]-Table1[[#This Row],[pred_medv]]</f>
        <v>4.1688145486626667</v>
      </c>
      <c r="Q497">
        <f>IF(Table1[[#This Row],[medv]]=0, "Undefined", ABS((N497-O497)/N497))*100</f>
        <v>20.740370888868988</v>
      </c>
      <c r="V497">
        <v>440</v>
      </c>
      <c r="W497">
        <v>13.065913129521398</v>
      </c>
      <c r="X497">
        <v>-0.26591312952139745</v>
      </c>
    </row>
    <row r="498" spans="1:24" x14ac:dyDescent="0.3">
      <c r="A498">
        <v>0.17330999999999999</v>
      </c>
      <c r="B498">
        <v>0</v>
      </c>
      <c r="C498">
        <v>9.69</v>
      </c>
      <c r="D498">
        <v>0</v>
      </c>
      <c r="E498">
        <v>0.58499999999999996</v>
      </c>
      <c r="F498">
        <v>5.7069999999999999</v>
      </c>
      <c r="G498">
        <v>54</v>
      </c>
      <c r="H498">
        <v>2.3816999999999999</v>
      </c>
      <c r="I498">
        <v>6</v>
      </c>
      <c r="J498">
        <v>391</v>
      </c>
      <c r="K498">
        <v>19.2</v>
      </c>
      <c r="L498">
        <v>396.9</v>
      </c>
      <c r="M498">
        <v>12.01</v>
      </c>
      <c r="N498">
        <v>21.8</v>
      </c>
      <c r="O498">
        <f t="shared" si="9"/>
        <v>20.626620544352072</v>
      </c>
      <c r="P498">
        <f>Table1[[#This Row],[medv]]-Table1[[#This Row],[pred_medv]]</f>
        <v>1.1733794556479289</v>
      </c>
      <c r="Q498">
        <f>IF(Table1[[#This Row],[medv]]=0, "Undefined", ABS((N498-O498)/N498))*100</f>
        <v>5.3824745671923342</v>
      </c>
      <c r="V498">
        <v>441</v>
      </c>
      <c r="W498">
        <v>12.706096993181541</v>
      </c>
      <c r="X498">
        <v>-2.2060969931815411</v>
      </c>
    </row>
    <row r="499" spans="1:24" x14ac:dyDescent="0.3">
      <c r="A499">
        <v>0.27956999999999999</v>
      </c>
      <c r="B499">
        <v>0</v>
      </c>
      <c r="C499">
        <v>9.69</v>
      </c>
      <c r="D499">
        <v>0</v>
      </c>
      <c r="E499">
        <v>0.58499999999999996</v>
      </c>
      <c r="F499">
        <v>5.9260000000000002</v>
      </c>
      <c r="G499">
        <v>42.6</v>
      </c>
      <c r="H499">
        <v>2.3816999999999999</v>
      </c>
      <c r="I499">
        <v>6</v>
      </c>
      <c r="J499">
        <v>391</v>
      </c>
      <c r="K499">
        <v>19.2</v>
      </c>
      <c r="L499">
        <v>396.9</v>
      </c>
      <c r="M499">
        <v>13.59</v>
      </c>
      <c r="N499">
        <v>24.5</v>
      </c>
      <c r="O499">
        <f t="shared" si="9"/>
        <v>20.61249413984795</v>
      </c>
      <c r="P499">
        <f>Table1[[#This Row],[medv]]-Table1[[#This Row],[pred_medv]]</f>
        <v>3.88750586015205</v>
      </c>
      <c r="Q499">
        <f>IF(Table1[[#This Row],[medv]]=0, "Undefined", ABS((N499-O499)/N499))*100</f>
        <v>15.867370857763468</v>
      </c>
      <c r="V499">
        <v>442</v>
      </c>
      <c r="W499">
        <v>17.295580592087269</v>
      </c>
      <c r="X499">
        <v>-0.19558059208726775</v>
      </c>
    </row>
    <row r="500" spans="1:24" x14ac:dyDescent="0.3">
      <c r="A500">
        <v>0.17899000000000001</v>
      </c>
      <c r="B500">
        <v>0</v>
      </c>
      <c r="C500">
        <v>9.69</v>
      </c>
      <c r="D500">
        <v>0</v>
      </c>
      <c r="E500">
        <v>0.58499999999999996</v>
      </c>
      <c r="F500">
        <v>5.67</v>
      </c>
      <c r="G500">
        <v>28.8</v>
      </c>
      <c r="H500">
        <v>2.7986</v>
      </c>
      <c r="I500">
        <v>6</v>
      </c>
      <c r="J500">
        <v>391</v>
      </c>
      <c r="K500">
        <v>19.2</v>
      </c>
      <c r="L500">
        <v>393.29</v>
      </c>
      <c r="M500">
        <v>17.600000000000001</v>
      </c>
      <c r="N500">
        <v>23.1</v>
      </c>
      <c r="O500">
        <f t="shared" si="9"/>
        <v>16.885419639489612</v>
      </c>
      <c r="P500">
        <f>Table1[[#This Row],[medv]]-Table1[[#This Row],[pred_medv]]</f>
        <v>6.2145803605103893</v>
      </c>
      <c r="Q500">
        <f>IF(Table1[[#This Row],[medv]]=0, "Undefined", ABS((N500-O500)/N500))*100</f>
        <v>26.902945283594761</v>
      </c>
      <c r="V500">
        <v>443</v>
      </c>
      <c r="W500">
        <v>18.740485001510947</v>
      </c>
      <c r="X500">
        <v>-0.34048500151094885</v>
      </c>
    </row>
    <row r="501" spans="1:24" x14ac:dyDescent="0.3">
      <c r="A501">
        <v>0.28960000000000002</v>
      </c>
      <c r="B501">
        <v>0</v>
      </c>
      <c r="C501">
        <v>9.69</v>
      </c>
      <c r="D501">
        <v>0</v>
      </c>
      <c r="E501">
        <v>0.58499999999999996</v>
      </c>
      <c r="F501">
        <v>5.39</v>
      </c>
      <c r="G501">
        <v>72.900000000000006</v>
      </c>
      <c r="H501">
        <v>2.7986</v>
      </c>
      <c r="I501">
        <v>6</v>
      </c>
      <c r="J501">
        <v>391</v>
      </c>
      <c r="K501">
        <v>19.2</v>
      </c>
      <c r="L501">
        <v>396.9</v>
      </c>
      <c r="M501">
        <v>21.14</v>
      </c>
      <c r="N501">
        <v>19.7</v>
      </c>
      <c r="O501">
        <f t="shared" si="9"/>
        <v>14.013207870941859</v>
      </c>
      <c r="P501">
        <f>Table1[[#This Row],[medv]]-Table1[[#This Row],[pred_medv]]</f>
        <v>5.6867921290581407</v>
      </c>
      <c r="Q501">
        <f>IF(Table1[[#This Row],[medv]]=0, "Undefined", ABS((N501-O501)/N501))*100</f>
        <v>28.86696512212254</v>
      </c>
      <c r="V501">
        <v>444</v>
      </c>
      <c r="W501">
        <v>18.059010294530392</v>
      </c>
      <c r="X501">
        <v>-2.6590102945303915</v>
      </c>
    </row>
    <row r="502" spans="1:24" x14ac:dyDescent="0.3">
      <c r="A502">
        <v>0.26838000000000001</v>
      </c>
      <c r="B502">
        <v>0</v>
      </c>
      <c r="C502">
        <v>9.69</v>
      </c>
      <c r="D502">
        <v>0</v>
      </c>
      <c r="E502">
        <v>0.58499999999999996</v>
      </c>
      <c r="F502">
        <v>5.7939999999999996</v>
      </c>
      <c r="G502">
        <v>70.599999999999994</v>
      </c>
      <c r="H502">
        <v>2.8927</v>
      </c>
      <c r="I502">
        <v>6</v>
      </c>
      <c r="J502">
        <v>391</v>
      </c>
      <c r="K502">
        <v>19.2</v>
      </c>
      <c r="L502">
        <v>396.9</v>
      </c>
      <c r="M502">
        <v>14.1</v>
      </c>
      <c r="N502">
        <v>18.3</v>
      </c>
      <c r="O502">
        <f t="shared" si="9"/>
        <v>19.108541438764949</v>
      </c>
      <c r="P502">
        <f>Table1[[#This Row],[medv]]-Table1[[#This Row],[pred_medv]]</f>
        <v>-0.80854143876494788</v>
      </c>
      <c r="Q502">
        <f>IF(Table1[[#This Row],[medv]]=0, "Undefined", ABS((N502-O502)/N502))*100</f>
        <v>4.4182592282237589</v>
      </c>
      <c r="V502">
        <v>445</v>
      </c>
      <c r="W502">
        <v>11.514746833905516</v>
      </c>
      <c r="X502">
        <v>-0.71474683390551519</v>
      </c>
    </row>
    <row r="503" spans="1:24" x14ac:dyDescent="0.3">
      <c r="A503">
        <v>0.23912</v>
      </c>
      <c r="B503">
        <v>0</v>
      </c>
      <c r="C503">
        <v>9.69</v>
      </c>
      <c r="D503">
        <v>0</v>
      </c>
      <c r="E503">
        <v>0.58499999999999996</v>
      </c>
      <c r="F503">
        <v>6.0190000000000001</v>
      </c>
      <c r="G503">
        <v>65.3</v>
      </c>
      <c r="H503">
        <v>2.4091</v>
      </c>
      <c r="I503">
        <v>6</v>
      </c>
      <c r="J503">
        <v>391</v>
      </c>
      <c r="K503">
        <v>19.2</v>
      </c>
      <c r="L503">
        <v>396.9</v>
      </c>
      <c r="M503">
        <v>12.92</v>
      </c>
      <c r="N503">
        <v>21.2</v>
      </c>
      <c r="O503">
        <f t="shared" si="9"/>
        <v>21.298051744435259</v>
      </c>
      <c r="P503">
        <f>Table1[[#This Row],[medv]]-Table1[[#This Row],[pred_medv]]</f>
        <v>-9.8051744435259991E-2</v>
      </c>
      <c r="Q503">
        <f>IF(Table1[[#This Row],[medv]]=0, "Undefined", ABS((N503-O503)/N503))*100</f>
        <v>0.46250822846820749</v>
      </c>
      <c r="V503">
        <v>446</v>
      </c>
      <c r="W503">
        <v>11.974003586658984</v>
      </c>
      <c r="X503">
        <v>-0.17400358665898352</v>
      </c>
    </row>
    <row r="504" spans="1:24" x14ac:dyDescent="0.3">
      <c r="A504">
        <v>0.17782999999999999</v>
      </c>
      <c r="B504">
        <v>0</v>
      </c>
      <c r="C504">
        <v>9.69</v>
      </c>
      <c r="D504">
        <v>0</v>
      </c>
      <c r="E504">
        <v>0.58499999999999996</v>
      </c>
      <c r="F504">
        <v>5.569</v>
      </c>
      <c r="G504">
        <v>73.5</v>
      </c>
      <c r="H504">
        <v>2.3999000000000001</v>
      </c>
      <c r="I504">
        <v>6</v>
      </c>
      <c r="J504">
        <v>391</v>
      </c>
      <c r="K504">
        <v>19.2</v>
      </c>
      <c r="L504">
        <v>395.77</v>
      </c>
      <c r="M504">
        <v>15.1</v>
      </c>
      <c r="N504">
        <v>17.5</v>
      </c>
      <c r="O504">
        <f t="shared" si="9"/>
        <v>18.454988408698927</v>
      </c>
      <c r="P504">
        <f>Table1[[#This Row],[medv]]-Table1[[#This Row],[pred_medv]]</f>
        <v>-0.95498840869892732</v>
      </c>
      <c r="Q504">
        <f>IF(Table1[[#This Row],[medv]]=0, "Undefined", ABS((N504-O504)/N504))*100</f>
        <v>5.4570766211367276</v>
      </c>
      <c r="V504">
        <v>447</v>
      </c>
      <c r="W504">
        <v>17.68344618471005</v>
      </c>
      <c r="X504">
        <v>-2.7834461847100496</v>
      </c>
    </row>
    <row r="505" spans="1:24" x14ac:dyDescent="0.3">
      <c r="A505">
        <v>0.22438</v>
      </c>
      <c r="B505">
        <v>0</v>
      </c>
      <c r="C505">
        <v>9.69</v>
      </c>
      <c r="D505">
        <v>0</v>
      </c>
      <c r="E505">
        <v>0.58499999999999996</v>
      </c>
      <c r="F505">
        <v>6.0270000000000001</v>
      </c>
      <c r="G505">
        <v>79.7</v>
      </c>
      <c r="H505">
        <v>2.4982000000000002</v>
      </c>
      <c r="I505">
        <v>6</v>
      </c>
      <c r="J505">
        <v>391</v>
      </c>
      <c r="K505">
        <v>19.2</v>
      </c>
      <c r="L505">
        <v>396.9</v>
      </c>
      <c r="M505">
        <v>14.33</v>
      </c>
      <c r="N505">
        <v>16.8</v>
      </c>
      <c r="O505">
        <f t="shared" si="9"/>
        <v>20.468708469605989</v>
      </c>
      <c r="P505">
        <f>Table1[[#This Row],[medv]]-Table1[[#This Row],[pred_medv]]</f>
        <v>-3.6687084696059884</v>
      </c>
      <c r="Q505">
        <f>IF(Table1[[#This Row],[medv]]=0, "Undefined", ABS((N505-O505)/N505))*100</f>
        <v>21.837550414321356</v>
      </c>
      <c r="V505">
        <v>448</v>
      </c>
      <c r="W505">
        <v>18.126952390266084</v>
      </c>
      <c r="X505">
        <v>-5.526952390266084</v>
      </c>
    </row>
    <row r="506" spans="1:24" x14ac:dyDescent="0.3">
      <c r="A506">
        <v>6.2630000000000005E-2</v>
      </c>
      <c r="B506">
        <v>0</v>
      </c>
      <c r="C506">
        <v>11.93</v>
      </c>
      <c r="D506">
        <v>0</v>
      </c>
      <c r="E506">
        <v>0.57299999999999995</v>
      </c>
      <c r="F506">
        <v>6.593</v>
      </c>
      <c r="G506">
        <v>69.099999999999994</v>
      </c>
      <c r="H506">
        <v>2.4786000000000001</v>
      </c>
      <c r="I506">
        <v>1</v>
      </c>
      <c r="J506">
        <v>273</v>
      </c>
      <c r="K506">
        <v>21</v>
      </c>
      <c r="L506">
        <v>391.99</v>
      </c>
      <c r="M506">
        <v>9.67</v>
      </c>
      <c r="N506">
        <v>22.4</v>
      </c>
      <c r="O506">
        <f t="shared" si="9"/>
        <v>23.533340546667109</v>
      </c>
      <c r="P506">
        <f>Table1[[#This Row],[medv]]-Table1[[#This Row],[pred_medv]]</f>
        <v>-1.1333405466671103</v>
      </c>
      <c r="Q506">
        <f>IF(Table1[[#This Row],[medv]]=0, "Undefined", ABS((N506-O506)/N506))*100</f>
        <v>5.0595560119067429</v>
      </c>
      <c r="V506">
        <v>449</v>
      </c>
      <c r="W506">
        <v>17.518346503948791</v>
      </c>
      <c r="X506">
        <v>-3.4183465039487917</v>
      </c>
    </row>
    <row r="507" spans="1:24" x14ac:dyDescent="0.3">
      <c r="A507">
        <v>4.5269999999999998E-2</v>
      </c>
      <c r="B507">
        <v>0</v>
      </c>
      <c r="C507">
        <v>11.93</v>
      </c>
      <c r="D507">
        <v>0</v>
      </c>
      <c r="E507">
        <v>0.57299999999999995</v>
      </c>
      <c r="F507">
        <v>6.12</v>
      </c>
      <c r="G507">
        <v>76.7</v>
      </c>
      <c r="H507">
        <v>2.2875000000000001</v>
      </c>
      <c r="I507">
        <v>1</v>
      </c>
      <c r="J507">
        <v>273</v>
      </c>
      <c r="K507">
        <v>21</v>
      </c>
      <c r="L507">
        <v>396.9</v>
      </c>
      <c r="M507">
        <v>9.08</v>
      </c>
      <c r="N507">
        <v>20.6</v>
      </c>
      <c r="O507">
        <f t="shared" si="9"/>
        <v>22.375718920288293</v>
      </c>
      <c r="P507">
        <f>Table1[[#This Row],[medv]]-Table1[[#This Row],[pred_medv]]</f>
        <v>-1.7757189202882913</v>
      </c>
      <c r="Q507">
        <f>IF(Table1[[#This Row],[medv]]=0, "Undefined", ABS((N507-O507)/N507))*100</f>
        <v>8.6199947586810257</v>
      </c>
      <c r="V507">
        <v>450</v>
      </c>
      <c r="W507">
        <v>17.22742507301632</v>
      </c>
      <c r="X507">
        <v>-4.2274250730163203</v>
      </c>
    </row>
    <row r="508" spans="1:24" x14ac:dyDescent="0.3">
      <c r="A508">
        <v>6.0760000000000002E-2</v>
      </c>
      <c r="B508">
        <v>0</v>
      </c>
      <c r="C508">
        <v>11.93</v>
      </c>
      <c r="D508">
        <v>0</v>
      </c>
      <c r="E508">
        <v>0.57299999999999995</v>
      </c>
      <c r="F508">
        <v>6.976</v>
      </c>
      <c r="G508">
        <v>91</v>
      </c>
      <c r="H508">
        <v>2.1675</v>
      </c>
      <c r="I508">
        <v>1</v>
      </c>
      <c r="J508">
        <v>273</v>
      </c>
      <c r="K508">
        <v>21</v>
      </c>
      <c r="L508">
        <v>396.9</v>
      </c>
      <c r="M508">
        <v>5.64</v>
      </c>
      <c r="N508">
        <v>23.9</v>
      </c>
      <c r="O508">
        <f t="shared" si="9"/>
        <v>27.627426095035926</v>
      </c>
      <c r="P508">
        <f>Table1[[#This Row],[medv]]-Table1[[#This Row],[pred_medv]]</f>
        <v>-3.727426095035927</v>
      </c>
      <c r="Q508">
        <f>IF(Table1[[#This Row],[medv]]=0, "Undefined", ABS((N508-O508)/N508))*100</f>
        <v>15.595925083832332</v>
      </c>
      <c r="V508">
        <v>451</v>
      </c>
      <c r="W508">
        <v>16.522716313369259</v>
      </c>
      <c r="X508">
        <v>-3.1227163133692581</v>
      </c>
    </row>
    <row r="509" spans="1:24" x14ac:dyDescent="0.3">
      <c r="A509">
        <v>0.10959000000000001</v>
      </c>
      <c r="B509">
        <v>0</v>
      </c>
      <c r="C509">
        <v>11.93</v>
      </c>
      <c r="D509">
        <v>0</v>
      </c>
      <c r="E509">
        <v>0.57299999999999995</v>
      </c>
      <c r="F509">
        <v>6.7939999999999996</v>
      </c>
      <c r="G509">
        <v>89.3</v>
      </c>
      <c r="H509">
        <v>2.3889</v>
      </c>
      <c r="I509">
        <v>1</v>
      </c>
      <c r="J509">
        <v>273</v>
      </c>
      <c r="K509">
        <v>21</v>
      </c>
      <c r="L509">
        <v>393.45</v>
      </c>
      <c r="M509">
        <v>6.48</v>
      </c>
      <c r="N509">
        <v>22</v>
      </c>
      <c r="O509">
        <f t="shared" si="9"/>
        <v>26.127966806595794</v>
      </c>
      <c r="P509">
        <f>Table1[[#This Row],[medv]]-Table1[[#This Row],[pred_medv]]</f>
        <v>-4.1279668065957935</v>
      </c>
      <c r="Q509">
        <f>IF(Table1[[#This Row],[medv]]=0, "Undefined", ABS((N509-O509)/N509))*100</f>
        <v>18.763485484526335</v>
      </c>
      <c r="V509">
        <v>452</v>
      </c>
      <c r="W509">
        <v>19.412910950901978</v>
      </c>
      <c r="X509">
        <v>-4.2129109509019784</v>
      </c>
    </row>
    <row r="510" spans="1:24" x14ac:dyDescent="0.3">
      <c r="A510">
        <v>4.7410000000000001E-2</v>
      </c>
      <c r="B510">
        <v>0</v>
      </c>
      <c r="C510">
        <v>11.93</v>
      </c>
      <c r="D510">
        <v>0</v>
      </c>
      <c r="E510">
        <v>0.57299999999999995</v>
      </c>
      <c r="F510">
        <v>6.03</v>
      </c>
      <c r="G510">
        <v>80.8</v>
      </c>
      <c r="H510">
        <v>2.5049999999999999</v>
      </c>
      <c r="I510">
        <v>1</v>
      </c>
      <c r="J510">
        <v>273</v>
      </c>
      <c r="K510">
        <v>21</v>
      </c>
      <c r="L510">
        <v>396.9</v>
      </c>
      <c r="M510">
        <v>7.88</v>
      </c>
      <c r="N510">
        <v>11.9</v>
      </c>
      <c r="O510">
        <f t="shared" si="9"/>
        <v>22.344212292903638</v>
      </c>
      <c r="P510">
        <f>Table1[[#This Row],[medv]]-Table1[[#This Row],[pred_medv]]</f>
        <v>-10.444212292903638</v>
      </c>
      <c r="Q510">
        <f>IF(Table1[[#This Row],[medv]]=0, "Undefined", ABS((N510-O510)/N510))*100</f>
        <v>87.766489856333081</v>
      </c>
      <c r="V510">
        <v>453</v>
      </c>
      <c r="W510">
        <v>18.582152361805829</v>
      </c>
      <c r="X510">
        <v>-2.4821523618058272</v>
      </c>
    </row>
    <row r="511" spans="1:24" x14ac:dyDescent="0.3">
      <c r="V511">
        <v>454</v>
      </c>
      <c r="W511">
        <v>22.489447908157146</v>
      </c>
      <c r="X511">
        <v>-4.6894479081571454</v>
      </c>
    </row>
    <row r="512" spans="1:24" x14ac:dyDescent="0.3">
      <c r="V512">
        <v>455</v>
      </c>
      <c r="W512">
        <v>15.280001330376129</v>
      </c>
      <c r="X512">
        <v>-0.38000133037612827</v>
      </c>
    </row>
    <row r="513" spans="22:24" x14ac:dyDescent="0.3">
      <c r="V513">
        <v>456</v>
      </c>
      <c r="W513">
        <v>15.820893351719786</v>
      </c>
      <c r="X513">
        <v>-1.720893351719786</v>
      </c>
    </row>
    <row r="514" spans="22:24" x14ac:dyDescent="0.3">
      <c r="V514">
        <v>457</v>
      </c>
      <c r="W514">
        <v>12.687255813163722</v>
      </c>
      <c r="X514">
        <v>1.2744186836277649E-2</v>
      </c>
    </row>
    <row r="515" spans="22:24" x14ac:dyDescent="0.3">
      <c r="V515">
        <v>458</v>
      </c>
      <c r="W515">
        <v>12.876337901958191</v>
      </c>
      <c r="X515">
        <v>0.62366209804180883</v>
      </c>
    </row>
    <row r="516" spans="22:24" x14ac:dyDescent="0.3">
      <c r="V516">
        <v>459</v>
      </c>
      <c r="W516">
        <v>17.186685308587574</v>
      </c>
      <c r="X516">
        <v>-2.2866853085875736</v>
      </c>
    </row>
    <row r="517" spans="22:24" x14ac:dyDescent="0.3">
      <c r="V517">
        <v>460</v>
      </c>
      <c r="W517">
        <v>18.512476092921673</v>
      </c>
      <c r="X517">
        <v>1.4875239070783266</v>
      </c>
    </row>
    <row r="518" spans="22:24" x14ac:dyDescent="0.3">
      <c r="V518">
        <v>461</v>
      </c>
      <c r="W518">
        <v>19.04860533248322</v>
      </c>
      <c r="X518">
        <v>-2.6486053324832213</v>
      </c>
    </row>
    <row r="519" spans="22:24" x14ac:dyDescent="0.3">
      <c r="V519">
        <v>462</v>
      </c>
      <c r="W519">
        <v>20.172089273293409</v>
      </c>
      <c r="X519">
        <v>-2.4720892732934097</v>
      </c>
    </row>
    <row r="520" spans="22:24" x14ac:dyDescent="0.3">
      <c r="V520">
        <v>463</v>
      </c>
      <c r="W520">
        <v>19.774073196902567</v>
      </c>
      <c r="X520">
        <v>-0.27407319690256671</v>
      </c>
    </row>
    <row r="521" spans="22:24" x14ac:dyDescent="0.3">
      <c r="V521">
        <v>464</v>
      </c>
      <c r="W521">
        <v>22.429407678836814</v>
      </c>
      <c r="X521">
        <v>-2.2294076788368145</v>
      </c>
    </row>
    <row r="522" spans="22:24" x14ac:dyDescent="0.3">
      <c r="V522">
        <v>465</v>
      </c>
      <c r="W522">
        <v>20.319118543222874</v>
      </c>
      <c r="X522">
        <v>1.0808814567771243</v>
      </c>
    </row>
    <row r="523" spans="22:24" x14ac:dyDescent="0.3">
      <c r="V523">
        <v>466</v>
      </c>
      <c r="W523">
        <v>17.886162532167468</v>
      </c>
      <c r="X523">
        <v>2.0138374678325306</v>
      </c>
    </row>
    <row r="524" spans="22:24" x14ac:dyDescent="0.3">
      <c r="V524">
        <v>467</v>
      </c>
      <c r="W524">
        <v>14.374785228367967</v>
      </c>
      <c r="X524">
        <v>4.6252147716320327</v>
      </c>
    </row>
    <row r="525" spans="22:24" x14ac:dyDescent="0.3">
      <c r="V525">
        <v>468</v>
      </c>
      <c r="W525">
        <v>16.94776850719655</v>
      </c>
      <c r="X525">
        <v>2.1522314928034518</v>
      </c>
    </row>
    <row r="526" spans="22:24" x14ac:dyDescent="0.3">
      <c r="V526">
        <v>469</v>
      </c>
      <c r="W526">
        <v>16.984057621510402</v>
      </c>
      <c r="X526">
        <v>2.1159423784895992</v>
      </c>
    </row>
    <row r="527" spans="22:24" x14ac:dyDescent="0.3">
      <c r="V527">
        <v>470</v>
      </c>
      <c r="W527">
        <v>18.588383967695179</v>
      </c>
      <c r="X527">
        <v>1.511616032304822</v>
      </c>
    </row>
    <row r="528" spans="22:24" x14ac:dyDescent="0.3">
      <c r="V528">
        <v>471</v>
      </c>
      <c r="W528">
        <v>20.16719441063151</v>
      </c>
      <c r="X528">
        <v>-0.26719441063151095</v>
      </c>
    </row>
    <row r="529" spans="22:24" x14ac:dyDescent="0.3">
      <c r="V529">
        <v>472</v>
      </c>
      <c r="W529">
        <v>22.977180317148655</v>
      </c>
      <c r="X529">
        <v>-3.3771803171486532</v>
      </c>
    </row>
    <row r="530" spans="22:24" x14ac:dyDescent="0.3">
      <c r="V530">
        <v>473</v>
      </c>
      <c r="W530">
        <v>22.455807263536229</v>
      </c>
      <c r="X530">
        <v>0.74419273646376993</v>
      </c>
    </row>
    <row r="531" spans="22:24" x14ac:dyDescent="0.3">
      <c r="V531">
        <v>474</v>
      </c>
      <c r="W531">
        <v>25.578246265482534</v>
      </c>
      <c r="X531">
        <v>4.2217537345174669</v>
      </c>
    </row>
    <row r="532" spans="22:24" x14ac:dyDescent="0.3">
      <c r="V532">
        <v>475</v>
      </c>
      <c r="W532">
        <v>16.391476316355526</v>
      </c>
      <c r="X532">
        <v>-2.591476316355525</v>
      </c>
    </row>
    <row r="533" spans="22:24" x14ac:dyDescent="0.3">
      <c r="V533">
        <v>476</v>
      </c>
      <c r="W533">
        <v>16.111462804301702</v>
      </c>
      <c r="X533">
        <v>-2.8114628043017014</v>
      </c>
    </row>
    <row r="534" spans="22:24" x14ac:dyDescent="0.3">
      <c r="V534">
        <v>477</v>
      </c>
      <c r="W534">
        <v>20.534815995890469</v>
      </c>
      <c r="X534">
        <v>-3.8348159958904695</v>
      </c>
    </row>
    <row r="535" spans="22:24" x14ac:dyDescent="0.3">
      <c r="V535">
        <v>478</v>
      </c>
      <c r="W535">
        <v>11.542727381565019</v>
      </c>
      <c r="X535">
        <v>0.45727261843498113</v>
      </c>
    </row>
    <row r="536" spans="22:24" x14ac:dyDescent="0.3">
      <c r="V536">
        <v>479</v>
      </c>
      <c r="W536">
        <v>19.204963044918028</v>
      </c>
      <c r="X536">
        <v>-4.6049630449180281</v>
      </c>
    </row>
    <row r="537" spans="22:24" x14ac:dyDescent="0.3">
      <c r="V537">
        <v>480</v>
      </c>
      <c r="W537">
        <v>21.86276390630557</v>
      </c>
      <c r="X537">
        <v>-0.46276390630557174</v>
      </c>
    </row>
    <row r="538" spans="22:24" x14ac:dyDescent="0.3">
      <c r="V538">
        <v>481</v>
      </c>
      <c r="W538">
        <v>23.468788663071344</v>
      </c>
      <c r="X538">
        <v>-0.46878866307134359</v>
      </c>
    </row>
    <row r="539" spans="22:24" x14ac:dyDescent="0.3">
      <c r="V539">
        <v>482</v>
      </c>
      <c r="W539">
        <v>27.098873154886029</v>
      </c>
      <c r="X539">
        <v>-3.3988731548860294</v>
      </c>
    </row>
    <row r="540" spans="22:24" x14ac:dyDescent="0.3">
      <c r="V540">
        <v>483</v>
      </c>
      <c r="W540">
        <v>28.56994301669706</v>
      </c>
      <c r="X540">
        <v>-3.56994301669706</v>
      </c>
    </row>
    <row r="541" spans="22:24" x14ac:dyDescent="0.3">
      <c r="V541">
        <v>484</v>
      </c>
      <c r="W541">
        <v>21.083987830898451</v>
      </c>
      <c r="X541">
        <v>0.71601216910154974</v>
      </c>
    </row>
    <row r="542" spans="22:24" x14ac:dyDescent="0.3">
      <c r="V542">
        <v>485</v>
      </c>
      <c r="W542">
        <v>19.455161955636768</v>
      </c>
      <c r="X542">
        <v>1.1448380443632331</v>
      </c>
    </row>
    <row r="543" spans="22:24" x14ac:dyDescent="0.3">
      <c r="V543">
        <v>486</v>
      </c>
      <c r="W543">
        <v>22.222259140790769</v>
      </c>
      <c r="X543">
        <v>-1.0222591407907693</v>
      </c>
    </row>
    <row r="544" spans="22:24" x14ac:dyDescent="0.3">
      <c r="V544">
        <v>487</v>
      </c>
      <c r="W544">
        <v>19.65591960758092</v>
      </c>
      <c r="X544">
        <v>-0.5559196075809183</v>
      </c>
    </row>
    <row r="545" spans="22:24" x14ac:dyDescent="0.3">
      <c r="V545">
        <v>488</v>
      </c>
      <c r="W545">
        <v>21.325361043998573</v>
      </c>
      <c r="X545">
        <v>-0.72536104399857138</v>
      </c>
    </row>
    <row r="546" spans="22:24" x14ac:dyDescent="0.3">
      <c r="V546">
        <v>489</v>
      </c>
      <c r="W546">
        <v>11.85583716649113</v>
      </c>
      <c r="X546">
        <v>3.3441628335088698</v>
      </c>
    </row>
    <row r="547" spans="22:24" x14ac:dyDescent="0.3">
      <c r="V547">
        <v>490</v>
      </c>
      <c r="W547">
        <v>8.2238668679278462</v>
      </c>
      <c r="X547">
        <v>-1.2238668679278462</v>
      </c>
    </row>
    <row r="548" spans="22:24" x14ac:dyDescent="0.3">
      <c r="V548">
        <v>491</v>
      </c>
      <c r="W548">
        <v>3.6639967204859172</v>
      </c>
      <c r="X548">
        <v>4.4360032795140825</v>
      </c>
    </row>
    <row r="549" spans="22:24" x14ac:dyDescent="0.3">
      <c r="V549">
        <v>492</v>
      </c>
      <c r="W549">
        <v>13.759085382070518</v>
      </c>
      <c r="X549">
        <v>-0.15908538207051848</v>
      </c>
    </row>
    <row r="550" spans="22:24" x14ac:dyDescent="0.3">
      <c r="V550">
        <v>493</v>
      </c>
      <c r="W550">
        <v>15.931185451337349</v>
      </c>
      <c r="X550">
        <v>4.1688145486626524</v>
      </c>
    </row>
    <row r="551" spans="22:24" x14ac:dyDescent="0.3">
      <c r="V551">
        <v>494</v>
      </c>
      <c r="W551">
        <v>20.626620544352072</v>
      </c>
      <c r="X551">
        <v>1.1733794556479289</v>
      </c>
    </row>
    <row r="552" spans="22:24" x14ac:dyDescent="0.3">
      <c r="V552">
        <v>495</v>
      </c>
      <c r="W552">
        <v>20.612494139847957</v>
      </c>
      <c r="X552">
        <v>3.8875058601520429</v>
      </c>
    </row>
    <row r="553" spans="22:24" x14ac:dyDescent="0.3">
      <c r="V553">
        <v>496</v>
      </c>
      <c r="W553">
        <v>16.885419639489619</v>
      </c>
      <c r="X553">
        <v>6.2145803605103822</v>
      </c>
    </row>
    <row r="554" spans="22:24" x14ac:dyDescent="0.3">
      <c r="V554">
        <v>497</v>
      </c>
      <c r="W554">
        <v>14.013207870941867</v>
      </c>
      <c r="X554">
        <v>5.6867921290581318</v>
      </c>
    </row>
    <row r="555" spans="22:24" x14ac:dyDescent="0.3">
      <c r="V555">
        <v>498</v>
      </c>
      <c r="W555">
        <v>19.108541438764956</v>
      </c>
      <c r="X555">
        <v>-0.80854143876495499</v>
      </c>
    </row>
    <row r="556" spans="22:24" x14ac:dyDescent="0.3">
      <c r="V556">
        <v>499</v>
      </c>
      <c r="W556">
        <v>21.29805174443527</v>
      </c>
      <c r="X556">
        <v>-9.8051744435270649E-2</v>
      </c>
    </row>
    <row r="557" spans="22:24" x14ac:dyDescent="0.3">
      <c r="V557">
        <v>500</v>
      </c>
      <c r="W557">
        <v>18.454988408698927</v>
      </c>
      <c r="X557">
        <v>-0.95498840869892732</v>
      </c>
    </row>
    <row r="558" spans="22:24" x14ac:dyDescent="0.3">
      <c r="V558">
        <v>501</v>
      </c>
      <c r="W558">
        <v>20.468708469605986</v>
      </c>
      <c r="X558">
        <v>-3.6687084696059848</v>
      </c>
    </row>
    <row r="559" spans="22:24" x14ac:dyDescent="0.3">
      <c r="V559">
        <v>502</v>
      </c>
      <c r="W559">
        <v>23.533340546667102</v>
      </c>
      <c r="X559">
        <v>-1.1333405466671032</v>
      </c>
    </row>
    <row r="560" spans="22:24" x14ac:dyDescent="0.3">
      <c r="V560">
        <v>503</v>
      </c>
      <c r="W560">
        <v>22.375718920288286</v>
      </c>
      <c r="X560">
        <v>-1.7757189202882842</v>
      </c>
    </row>
    <row r="561" spans="22:24" x14ac:dyDescent="0.3">
      <c r="V561">
        <v>504</v>
      </c>
      <c r="W561">
        <v>27.627426095035922</v>
      </c>
      <c r="X561">
        <v>-3.7274260950359235</v>
      </c>
    </row>
    <row r="562" spans="22:24" x14ac:dyDescent="0.3">
      <c r="V562">
        <v>505</v>
      </c>
      <c r="W562">
        <v>26.127966806595786</v>
      </c>
      <c r="X562">
        <v>-4.1279668065957864</v>
      </c>
    </row>
    <row r="563" spans="22:24" ht="15" thickBot="1" x14ac:dyDescent="0.35">
      <c r="V563" s="3">
        <v>506</v>
      </c>
      <c r="W563" s="3">
        <v>22.344212292903627</v>
      </c>
      <c r="X563" s="3">
        <v>-10.444212292903627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boston</vt:lpstr>
      <vt:lpstr>eda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Warsame</dc:creator>
  <cp:lastModifiedBy>Mohamed Warsame</cp:lastModifiedBy>
  <dcterms:created xsi:type="dcterms:W3CDTF">2024-03-06T04:57:08Z</dcterms:created>
  <dcterms:modified xsi:type="dcterms:W3CDTF">2024-03-20T16:21:05Z</dcterms:modified>
</cp:coreProperties>
</file>